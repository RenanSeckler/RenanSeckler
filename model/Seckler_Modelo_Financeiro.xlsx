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Premissas" sheetId="2" state="visible" r:id="rId2"/>
    <sheet xmlns:r="http://schemas.openxmlformats.org/officeDocument/2006/relationships" name="Cenarios" sheetId="3" state="visible" r:id="rId3"/>
    <sheet xmlns:r="http://schemas.openxmlformats.org/officeDocument/2006/relationships" name="Sensibilidade" sheetId="4" state="visible" r:id="rId4"/>
    <sheet xmlns:r="http://schemas.openxmlformats.org/officeDocument/2006/relationships" name="CRM" sheetId="5" state="visible" r:id="rId5"/>
    <sheet xmlns:r="http://schemas.openxmlformats.org/officeDocument/2006/relationships" name="KPIs" sheetId="6" state="visible" r:id="rId6"/>
  </sheets>
  <definedNames>
    <definedName name="_xlnm._FilterDatabase" localSheetId="4" hidden="1">'CRM'!$A$1:$P$500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;[Red]-&quot;$&quot;#,##0"/>
    <numFmt numFmtId="165" formatCode="0.0%"/>
    <numFmt numFmtId="166" formatCode="&quot;$&quot;#,##0.00"/>
    <numFmt numFmtId="167" formatCode="0.0"/>
    <numFmt numFmtId="168" formatCode="yyyy-mm-dd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3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0" fontId="0" fillId="3" borderId="0" pivotButton="0" quotePrefix="0" xfId="0"/>
    <xf numFmtId="0" fontId="3" fillId="4" borderId="0" pivotButton="0" quotePrefix="0" xfId="0"/>
    <xf numFmtId="0" fontId="0" fillId="4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0" fontId="0" fillId="0" borderId="0" applyAlignment="1" pivotButton="0" quotePrefix="0" xfId="0">
      <alignment wrapText="1"/>
    </xf>
    <xf numFmtId="168" fontId="0" fillId="0" borderId="0" pivotButton="0" quotePrefix="0" xfId="0"/>
    <xf numFmtId="9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Seckler Moving — Modelo financeiro de expansão (warehouse, storage, sinistros, governo)</t>
        </is>
      </c>
    </row>
    <row r="2">
      <c r="A2" t="inlineStr"/>
    </row>
    <row r="3">
      <c r="A3" t="inlineStr">
        <is>
          <t>Como usar:</t>
        </is>
      </c>
    </row>
    <row r="4">
      <c r="A4" t="inlineStr">
        <is>
          <t>1. Edite apenas as células AZUIS na aba Premissas (e metas em KPIs).</t>
        </is>
      </c>
    </row>
    <row r="5">
      <c r="A5" t="inlineStr">
        <is>
          <t>2. A aba Cenarios recalcula 9 combinações: estruturas A/B/C x casos Conservador/Base/Otimista.</t>
        </is>
      </c>
    </row>
    <row r="6">
      <c r="A6" t="inlineStr">
        <is>
          <t>3. A aba Sensibilidade mostra quantos vaults estáveis justificam sair do modelo terceirizado.</t>
        </is>
      </c>
    </row>
    <row r="7">
      <c r="A7" t="inlineStr">
        <is>
          <t>4. CRM: altere Etapa pelo menu; Data follow-up = último contato + 7 dias (sobrescreva se precisar).</t>
        </is>
      </c>
    </row>
    <row r="8">
      <c r="A8" t="inlineStr">
        <is>
          <t>5. KPIs: uma linha por semana.</t>
        </is>
      </c>
    </row>
    <row r="9">
      <c r="A9" t="inlineStr"/>
    </row>
    <row r="10">
      <c r="A10" t="inlineStr">
        <is>
          <t>Regras do modelo:</t>
        </is>
      </c>
    </row>
    <row r="11">
      <c r="A11" t="inlineStr">
        <is>
          <t>- Valores são mensais, em regime (após rampa). Não há projeção de crescimento automática.</t>
        </is>
      </c>
    </row>
    <row r="12">
      <c r="A12" t="inlineStr">
        <is>
          <t>- Receita de governo só entra quando houver contrato assinado.</t>
        </is>
      </c>
    </row>
    <row r="13">
      <c r="A13" t="inlineStr">
        <is>
          <t>- Toda premissa sem fonte está marcada como PREMISSA ou PENDENTE na coluna F.</t>
        </is>
      </c>
    </row>
    <row r="14">
      <c r="A14" t="inlineStr">
        <is>
          <t>- Não é recomendação de crédito nem garantia de aprovação de financiamento.</t>
        </is>
      </c>
    </row>
    <row r="15">
      <c r="A15" t="inlineStr"/>
    </row>
    <row r="16">
      <c r="A16" t="inlineStr">
        <is>
          <t>Gerado por model/build_model.py — rode novamente para recriar a planilha a partir do código.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8" customWidth="1" min="2" max="2"/>
    <col width="16" customWidth="1" min="3" max="3"/>
    <col width="16" customWidth="1" min="4" max="4"/>
    <col width="16" customWidth="1" min="5" max="5"/>
    <col width="110" customWidth="1" min="6" max="6"/>
  </cols>
  <sheetData>
    <row r="1">
      <c r="A1" s="2" t="inlineStr">
        <is>
          <t>Premissas — células azuis são editáveis. Fonte/status na coluna F.</t>
        </is>
      </c>
    </row>
    <row r="3">
      <c r="A3" s="3" t="inlineStr">
        <is>
          <t>Parâmetro (varia por CASO)</t>
        </is>
      </c>
      <c r="B3" s="3" t="inlineStr">
        <is>
          <t>Unidade</t>
        </is>
      </c>
      <c r="C3" s="3" t="inlineStr">
        <is>
          <t>Conservador</t>
        </is>
      </c>
      <c r="D3" s="3" t="inlineStr">
        <is>
          <t>Base</t>
        </is>
      </c>
      <c r="E3" s="3" t="inlineStr">
        <is>
          <t>Otimista</t>
        </is>
      </c>
      <c r="F3" s="3" t="inlineStr">
        <is>
          <t>Fonte / status</t>
        </is>
      </c>
    </row>
    <row r="4">
      <c r="A4" t="inlineStr">
        <is>
          <t>Mudanças por mês</t>
        </is>
      </c>
      <c r="B4" t="inlineStr">
        <is>
          <t>jobs</t>
        </is>
      </c>
      <c r="C4" s="4" t="n">
        <v>24</v>
      </c>
      <c r="D4" s="4" t="n">
        <v>30</v>
      </c>
      <c r="E4" s="4" t="n">
        <v>36</v>
      </c>
      <c r="F4" t="inlineStr">
        <is>
          <t>Renan (17/10/2026): ~30 mudanças/mês com 2 caminhões. Conservador -20%, otimista +20%.</t>
        </is>
      </c>
    </row>
    <row r="5">
      <c r="A5" t="inlineStr">
        <is>
          <t>Ticket médio por mudança</t>
        </is>
      </c>
      <c r="B5" t="inlineStr">
        <is>
          <t>US$</t>
        </is>
      </c>
      <c r="C5" s="5" t="n">
        <v>900</v>
      </c>
      <c r="D5" s="5" t="n">
        <v>1000</v>
      </c>
      <c r="E5" s="5" t="n">
        <v>1100</v>
      </c>
      <c r="F5" t="inlineStr">
        <is>
          <t>Renan (17/10/2026): ticket médio ~US$1.000, mínimo US$450. Coerente com moveBuddha Orlando (US$672-1.550).</t>
        </is>
      </c>
    </row>
    <row r="6">
      <c r="A6" t="inlineStr">
        <is>
          <t>Custo variável da mudança</t>
        </is>
      </c>
      <c r="B6" t="inlineStr">
        <is>
          <t>% receita</t>
        </is>
      </c>
      <c r="C6" s="6" t="n">
        <v>0.58</v>
      </c>
      <c r="D6" s="6" t="n">
        <v>0.55</v>
      </c>
      <c r="E6" s="6" t="n">
        <v>0.52</v>
      </c>
      <c r="F6" t="inlineStr">
        <is>
          <t>PREMISSA: mão de obra, combustível, materiais, comissões. Substituir pela DRE real.</t>
        </is>
      </c>
    </row>
    <row r="7">
      <c r="A7" t="inlineStr">
        <is>
          <t>Pack-outs (sinistros) por mês</t>
        </is>
      </c>
      <c r="B7" t="inlineStr">
        <is>
          <t>jobs</t>
        </is>
      </c>
      <c r="C7" s="4" t="n">
        <v>0</v>
      </c>
      <c r="D7" s="4" t="n">
        <v>1</v>
      </c>
      <c r="E7" s="4" t="n">
        <v>3</v>
      </c>
      <c r="F7" t="inlineStr">
        <is>
          <t>PREMISSA: zero no conservador até existir parceiro de restauração assinado.</t>
        </is>
      </c>
    </row>
    <row r="8">
      <c r="A8" t="inlineStr">
        <is>
          <t>Ticket médio pack-out + devolução (sem armazenagem)</t>
        </is>
      </c>
      <c r="B8" t="inlineStr">
        <is>
          <t>US$</t>
        </is>
      </c>
      <c r="C8" s="5" t="n">
        <v>2500</v>
      </c>
      <c r="D8" s="5" t="n">
        <v>3500</v>
      </c>
      <c r="E8" s="5" t="n">
        <v>4500</v>
      </c>
      <c r="F8" t="inlineStr">
        <is>
          <t>Referência única de fornecedor (Maryland): US$1.500-6.500 por residência. Baixa confiança.</t>
        </is>
      </c>
    </row>
    <row r="9">
      <c r="A9" t="inlineStr">
        <is>
          <t>Custo variável do pack-out</t>
        </is>
      </c>
      <c r="B9" t="inlineStr">
        <is>
          <t>% receita</t>
        </is>
      </c>
      <c r="C9" s="6" t="n">
        <v>0.55</v>
      </c>
      <c r="D9" s="6" t="n">
        <v>0.5</v>
      </c>
      <c r="E9" s="6" t="n">
        <v>0.45</v>
      </c>
      <c r="F9" t="inlineStr">
        <is>
          <t>PREMISSA: mão de obra intensiva, caixas, inventário, transporte.</t>
        </is>
      </c>
    </row>
    <row r="10">
      <c r="A10" t="inlineStr">
        <is>
          <t>Vaults ocupados (média do período)</t>
        </is>
      </c>
      <c r="B10" t="inlineStr">
        <is>
          <t>vaults</t>
        </is>
      </c>
      <c r="C10" s="4" t="n">
        <v>8</v>
      </c>
      <c r="D10" s="4" t="n">
        <v>25</v>
      </c>
      <c r="E10" s="4" t="n">
        <v>50</v>
      </c>
      <c r="F10" t="inlineStr">
        <is>
          <t>PREMISSA: estoque médio de clientes em armazenagem (mudança + sinistro).</t>
        </is>
      </c>
    </row>
    <row r="11">
      <c r="A11" t="inlineStr">
        <is>
          <t>Preço por vault / mês</t>
        </is>
      </c>
      <c r="B11" t="inlineStr">
        <is>
          <t>US$</t>
        </is>
      </c>
      <c r="C11" s="5" t="n">
        <v>90</v>
      </c>
      <c r="D11" s="5" t="n">
        <v>110</v>
      </c>
      <c r="E11" s="5" t="n">
        <v>130</v>
      </c>
      <c r="F11" t="inlineStr">
        <is>
          <t>PREMISSA a validar por cotação oculta (1st Class, Suddath, Cento, J&amp;J Metro). Self-storage 10x10 climatizado WG: ~US$80-155/mês (RentCafe/Public Storage 2026).</t>
        </is>
      </c>
    </row>
    <row r="12">
      <c r="A12" t="inlineStr">
        <is>
          <t>Manuseio + seguro de armazenagem por vault / mês</t>
        </is>
      </c>
      <c r="B12" t="inlineStr">
        <is>
          <t>US$</t>
        </is>
      </c>
      <c r="C12" s="5" t="n">
        <v>10</v>
      </c>
      <c r="D12" s="5" t="n">
        <v>8</v>
      </c>
      <c r="E12" s="5" t="n">
        <v>7</v>
      </c>
      <c r="F12" t="inlineStr">
        <is>
          <t>PREMISSA.</t>
        </is>
      </c>
    </row>
    <row r="13">
      <c r="A13" t="inlineStr">
        <is>
          <t>Prazo médio de recebimento do pack-out (DSO)</t>
        </is>
      </c>
      <c r="B13" t="inlineStr">
        <is>
          <t>dias</t>
        </is>
      </c>
      <c r="C13" s="4" t="n">
        <v>75</v>
      </c>
      <c r="D13" s="4" t="n">
        <v>60</v>
      </c>
      <c r="E13" s="4" t="n">
        <v>45</v>
      </c>
      <c r="F13" t="inlineStr">
        <is>
          <t>PREMISSA: restauradoras/seguradoras pagam com atraso; validar nos contratos.</t>
        </is>
      </c>
    </row>
    <row r="14">
      <c r="A14" t="inlineStr">
        <is>
          <t>Reserva de caixa</t>
        </is>
      </c>
      <c r="B14" t="inlineStr">
        <is>
          <t>meses de custo fixo</t>
        </is>
      </c>
      <c r="C14" s="4" t="n">
        <v>3</v>
      </c>
      <c r="D14" s="4" t="n">
        <v>2</v>
      </c>
      <c r="E14" s="4" t="n">
        <v>2</v>
      </c>
      <c r="F14" t="inlineStr">
        <is>
          <t>Política de prudência.</t>
        </is>
      </c>
    </row>
    <row r="15">
      <c r="A15" t="inlineStr">
        <is>
          <t>Receita governo (SOMENTE contratos assinados)</t>
        </is>
      </c>
      <c r="B15" t="inlineStr">
        <is>
          <t>US$/mês</t>
        </is>
      </c>
      <c r="C15" s="5" t="n">
        <v>0</v>
      </c>
      <c r="D15" s="5" t="n">
        <v>0</v>
      </c>
      <c r="E15" s="5" t="n">
        <v>0</v>
      </c>
      <c r="F15" t="inlineStr">
        <is>
          <t>Regra: propostas e leads não entram. Atualizar apenas após adjudicação.</t>
        </is>
      </c>
    </row>
    <row r="17">
      <c r="A17" s="3" t="inlineStr">
        <is>
          <t>Parâmetro (varia por ESTRUTURA)</t>
        </is>
      </c>
      <c r="B17" s="3" t="inlineStr">
        <is>
          <t>Unidade</t>
        </is>
      </c>
      <c r="C17" s="3" t="inlineStr">
        <is>
          <t>A - Terceirizar</t>
        </is>
      </c>
      <c r="D17" s="3" t="inlineStr">
        <is>
          <t>B - Alugar</t>
        </is>
      </c>
      <c r="E17" s="3" t="inlineStr">
        <is>
          <t>C - Comprar</t>
        </is>
      </c>
      <c r="F17" s="3" t="inlineStr">
        <is>
          <t>Fonte / status</t>
        </is>
      </c>
    </row>
    <row r="18">
      <c r="A18" t="inlineStr">
        <is>
          <t>Área do imóvel</t>
        </is>
      </c>
      <c r="B18" t="inlineStr">
        <is>
          <t>sf</t>
        </is>
      </c>
      <c r="C18" s="4" t="n">
        <v>0</v>
      </c>
      <c r="D18" s="4" t="n">
        <v>3000</v>
      </c>
      <c r="E18" s="4" t="n">
        <v>6000</v>
      </c>
      <c r="F18" t="inlineStr">
        <is>
          <t>B: listagens WG/Ocoee 2.200-5.255 sf. C: comparáveis Ocoee/Apopka 6.040-6.500 sf.</t>
        </is>
      </c>
    </row>
    <row r="19">
      <c r="A19" t="inlineStr">
        <is>
          <t>Capacidade de vaults</t>
        </is>
      </c>
      <c r="B19" t="inlineStr">
        <is>
          <t>vaults</t>
        </is>
      </c>
      <c r="C19" s="4" t="n">
        <v>100000</v>
      </c>
      <c r="D19" s="4" t="n">
        <v>100</v>
      </c>
      <c r="E19" s="4" t="n">
        <v>200</v>
      </c>
      <c r="F19" t="inlineStr">
        <is>
          <t>PREMISSA: ~60% da área útil, vault 7x5 ft, empilhado 2 alturas. A = capacidade do parceiro.</t>
        </is>
      </c>
    </row>
    <row r="20">
      <c r="A20" t="inlineStr">
        <is>
          <t>Custo terceirizado por vault / mês</t>
        </is>
      </c>
      <c r="B20" t="inlineStr">
        <is>
          <t>US$</t>
        </is>
      </c>
      <c r="C20" s="5" t="n">
        <v>60</v>
      </c>
      <c r="D20" s="5" t="n">
        <v>0</v>
      </c>
      <c r="E20" s="5" t="n">
        <v>0</v>
      </c>
      <c r="F20" t="inlineStr">
        <is>
          <t>PREMISSA central do cenário A: cotar com armazéns de mudança/3PL. Ver aba Sensibilidade.</t>
        </is>
      </c>
    </row>
    <row r="21">
      <c r="A21" t="inlineStr">
        <is>
          <t>Aluguel base</t>
        </is>
      </c>
      <c r="B21" t="inlineStr">
        <is>
          <t>US$/sf/ano</t>
        </is>
      </c>
      <c r="C21" s="7" t="n">
        <v>0</v>
      </c>
      <c r="D21" s="7" t="n">
        <v>17.5</v>
      </c>
      <c r="E21" s="7" t="n">
        <v>0</v>
      </c>
      <c r="F21" t="inlineStr">
        <is>
          <t>LoopNet/Showcase out/2026: 661 Garden Commerce Pky US$16,50-16,75; Business Park Blvd US$17-19,20; Maguire Rd Ext Ocoee US$17. Imposto sobre aluguel comercial revogado em 01/10/2025 (HB 7031).</t>
        </is>
      </c>
    </row>
    <row r="22">
      <c r="A22" t="inlineStr">
        <is>
          <t>CAM/NNN (impostos, seguro, áreas comuns)</t>
        </is>
      </c>
      <c r="B22" t="inlineStr">
        <is>
          <t>US$/sf/ano</t>
        </is>
      </c>
      <c r="C22" s="7" t="n">
        <v>0</v>
      </c>
      <c r="D22" s="7" t="n">
        <v>4</v>
      </c>
      <c r="E22" s="7" t="n">
        <v>0</v>
      </c>
      <c r="F22" t="inlineStr">
        <is>
          <t>PREMISSA: listagens não informam NNN. Confirmar com corretor.</t>
        </is>
      </c>
    </row>
    <row r="23">
      <c r="A23" t="inlineStr">
        <is>
          <t>Utilidades + manutenção</t>
        </is>
      </c>
      <c r="B23" t="inlineStr">
        <is>
          <t>US$/mês</t>
        </is>
      </c>
      <c r="C23" s="5" t="n">
        <v>0</v>
      </c>
      <c r="D23" s="5" t="n">
        <v>600</v>
      </c>
      <c r="E23" s="5" t="n">
        <v>900</v>
      </c>
      <c r="F23" t="inlineStr">
        <is>
          <t>PREMISSA.</t>
        </is>
      </c>
    </row>
    <row r="24">
      <c r="A24" t="inlineStr">
        <is>
          <t>Seguro warehouse legal liability</t>
        </is>
      </c>
      <c r="B24" t="inlineStr">
        <is>
          <t>US$/mês</t>
        </is>
      </c>
      <c r="C24" s="5" t="n">
        <v>0</v>
      </c>
      <c r="D24" s="5" t="n">
        <v>300</v>
      </c>
      <c r="E24" s="5" t="n">
        <v>300</v>
      </c>
      <c r="F24" t="inlineStr">
        <is>
          <t>PREMISSA: cotar com corretor de seguros.</t>
        </is>
      </c>
    </row>
    <row r="25">
      <c r="A25" t="inlineStr">
        <is>
          <t>Custo fixo base (seguros auto/carga/GL, software, marketing, admin)</t>
        </is>
      </c>
      <c r="B25" t="inlineStr">
        <is>
          <t>US$/mês</t>
        </is>
      </c>
      <c r="C25" s="5" t="n">
        <v>3500</v>
      </c>
      <c r="D25" s="5" t="n">
        <v>3500</v>
      </c>
      <c r="E25" s="5" t="n">
        <v>3500</v>
      </c>
      <c r="F25" t="inlineStr">
        <is>
          <t>PENDENTE: substituir pelos custos fixos reais da Seckler.</t>
        </is>
      </c>
    </row>
    <row r="26">
      <c r="A26" t="inlineStr">
        <is>
          <t>Pessoal fixo adicional do armazém</t>
        </is>
      </c>
      <c r="B26" t="inlineStr">
        <is>
          <t>US$/mês</t>
        </is>
      </c>
      <c r="C26" s="5" t="n">
        <v>0</v>
      </c>
      <c r="D26" s="5" t="n">
        <v>1500</v>
      </c>
      <c r="E26" s="5" t="n">
        <v>2500</v>
      </c>
      <c r="F26" t="inlineStr">
        <is>
          <t>PREMISSA: meio período (B) / integral parcial (C).</t>
        </is>
      </c>
    </row>
    <row r="27">
      <c r="A27" t="inlineStr">
        <is>
          <t>Receita de sublocação (área excedente)</t>
        </is>
      </c>
      <c r="B27" t="inlineStr">
        <is>
          <t>US$/mês</t>
        </is>
      </c>
      <c r="C27" s="5" t="n">
        <v>0</v>
      </c>
      <c r="D27" s="5" t="n">
        <v>0</v>
      </c>
      <c r="E27" s="5" t="n">
        <v>3500</v>
      </c>
      <c r="F27" t="inlineStr">
        <is>
          <t>C: ~2.500 sf a ~US$17/sf/ano. SBA 504 exige ocupação própria (51% em imóvel existente — verificar SOP).</t>
        </is>
      </c>
    </row>
    <row r="28">
      <c r="A28" t="inlineStr">
        <is>
          <t>Preço de compra</t>
        </is>
      </c>
      <c r="B28" t="inlineStr">
        <is>
          <t>US$/sf</t>
        </is>
      </c>
      <c r="C28" s="5" t="n">
        <v>0</v>
      </c>
      <c r="D28" s="5" t="n">
        <v>0</v>
      </c>
      <c r="E28" s="5" t="n">
        <v>300</v>
      </c>
      <c r="F28" t="inlineStr">
        <is>
          <t>Pedidos: 300 Story Rd Ocoee ~US$385/sf; Clarcona Rd Apopka ~US$364/sf; média WG ~US$250/sf (agregador).</t>
        </is>
      </c>
    </row>
    <row r="29">
      <c r="A29" t="inlineStr">
        <is>
          <t>Entrada (equity)</t>
        </is>
      </c>
      <c r="B29" t="inlineStr">
        <is>
          <t>% do preço</t>
        </is>
      </c>
      <c r="C29" s="6" t="n">
        <v>0</v>
      </c>
      <c r="D29" s="6" t="n">
        <v>0</v>
      </c>
      <c r="E29" s="6" t="n">
        <v>0.1</v>
      </c>
      <c r="F29" t="inlineStr">
        <is>
          <t>SBA 504 padrão 10%; 15% se empresa &lt;2 anos ou imóvel de uso especial.</t>
        </is>
      </c>
    </row>
    <row r="30">
      <c r="A30" t="inlineStr">
        <is>
          <t>Parcela banco (1ª hipoteca)</t>
        </is>
      </c>
      <c r="B30" t="inlineStr">
        <is>
          <t>% do preço</t>
        </is>
      </c>
      <c r="C30" s="6" t="n">
        <v>0</v>
      </c>
      <c r="D30" s="6" t="n">
        <v>0</v>
      </c>
      <c r="E30" s="6" t="n">
        <v>0.5</v>
      </c>
      <c r="F30" t="inlineStr">
        <is>
          <t>Estrutura 504 50/40/10.</t>
        </is>
      </c>
    </row>
    <row r="31">
      <c r="A31" t="inlineStr">
        <is>
          <t>Juros banco</t>
        </is>
      </c>
      <c r="B31" t="inlineStr">
        <is>
          <t>% a.a.</t>
        </is>
      </c>
      <c r="C31" s="8" t="n">
        <v>0</v>
      </c>
      <c r="D31" s="8" t="n">
        <v>0</v>
      </c>
      <c r="E31" s="8" t="n">
        <v>0.0725</v>
      </c>
      <c r="F31" t="inlineStr">
        <is>
          <t>PREMISSA: cotar com bancos/CDC.</t>
        </is>
      </c>
    </row>
    <row r="32">
      <c r="A32" t="inlineStr">
        <is>
          <t>Parcela CDC/SBA (debênture)</t>
        </is>
      </c>
      <c r="B32" t="inlineStr">
        <is>
          <t>% do preço</t>
        </is>
      </c>
      <c r="C32" s="6" t="n">
        <v>0</v>
      </c>
      <c r="D32" s="6" t="n">
        <v>0</v>
      </c>
      <c r="E32" s="6" t="n">
        <v>0.4</v>
      </c>
      <c r="F32" t="inlineStr">
        <is>
          <t>Estrutura 504.</t>
        </is>
      </c>
    </row>
    <row r="33">
      <c r="A33" t="inlineStr">
        <is>
          <t>Taxa efetiva CDC (com encargos)</t>
        </is>
      </c>
      <c r="B33" t="inlineStr">
        <is>
          <t>% a.a.</t>
        </is>
      </c>
      <c r="C33" s="8" t="n">
        <v>0</v>
      </c>
      <c r="D33" s="8" t="n">
        <v>0</v>
      </c>
      <c r="E33" s="8" t="n">
        <v>0.065</v>
      </c>
      <c r="F33" t="inlineStr">
        <is>
          <t>PREMISSA: taxa da debênture é fixada no mês da venda; cotar com CDC (ex.: Florida First Capital).</t>
        </is>
      </c>
    </row>
    <row r="34">
      <c r="A34" t="inlineStr">
        <is>
          <t>Prazo do financiamento</t>
        </is>
      </c>
      <c r="B34" t="inlineStr">
        <is>
          <t>anos</t>
        </is>
      </c>
      <c r="C34" s="4" t="n">
        <v>0</v>
      </c>
      <c r="D34" s="4" t="n">
        <v>0</v>
      </c>
      <c r="E34" s="4" t="n">
        <v>25</v>
      </c>
      <c r="F34" t="inlineStr">
        <is>
          <t>504 imóvel: 10/20/25 anos.</t>
        </is>
      </c>
    </row>
    <row r="35">
      <c r="A35" t="inlineStr">
        <is>
          <t>Custos de fechamento</t>
        </is>
      </c>
      <c r="B35" t="inlineStr">
        <is>
          <t>% do preço</t>
        </is>
      </c>
      <c r="C35" s="6" t="n">
        <v>0</v>
      </c>
      <c r="D35" s="6" t="n">
        <v>0</v>
      </c>
      <c r="E35" s="6" t="n">
        <v>0.04</v>
      </c>
      <c r="F35" t="inlineStr">
        <is>
          <t>PREMISSA: avaliação, Phase I ESA, título, taxas SBA/CDC.</t>
        </is>
      </c>
    </row>
    <row r="36">
      <c r="A36" t="inlineStr">
        <is>
          <t>IPTU + seguro do imóvel</t>
        </is>
      </c>
      <c r="B36" t="inlineStr">
        <is>
          <t>% do preço/ano</t>
        </is>
      </c>
      <c r="C36" s="6" t="n">
        <v>0</v>
      </c>
      <c r="D36" s="6" t="n">
        <v>0</v>
      </c>
      <c r="E36" s="6" t="n">
        <v>0.025</v>
      </c>
      <c r="F36" t="inlineStr">
        <is>
          <t>PREMISSA: Orange County ~1,6-1,9% + seguro patrimonial FL. Confirmar no Property Appraiser.</t>
        </is>
      </c>
    </row>
    <row r="37">
      <c r="A37" t="inlineStr">
        <is>
          <t>Caução + 1º mês</t>
        </is>
      </c>
      <c r="B37" t="inlineStr">
        <is>
          <t>meses de aluguel</t>
        </is>
      </c>
      <c r="C37" s="4" t="n">
        <v>0</v>
      </c>
      <c r="D37" s="4" t="n">
        <v>3</v>
      </c>
      <c r="E37" s="4" t="n">
        <v>0</v>
      </c>
      <c r="F37" t="inlineStr">
        <is>
          <t>PREMISSA comum: 2 caução + 1º mês.</t>
        </is>
      </c>
    </row>
    <row r="38">
      <c r="A38" t="inlineStr">
        <is>
          <t>Empilhadeira (usada)</t>
        </is>
      </c>
      <c r="B38" t="inlineStr">
        <is>
          <t>US$</t>
        </is>
      </c>
      <c r="C38" s="5" t="n">
        <v>0</v>
      </c>
      <c r="D38" s="5" t="n">
        <v>18000</v>
      </c>
      <c r="E38" s="5" t="n">
        <v>18000</v>
      </c>
      <c r="F38" t="inlineStr">
        <is>
          <t>PREMISSA: cotar.</t>
        </is>
      </c>
    </row>
    <row r="39">
      <c r="A39" t="inlineStr">
        <is>
          <t>Vaults comprados inicialmente</t>
        </is>
      </c>
      <c r="B39" t="inlineStr">
        <is>
          <t>un</t>
        </is>
      </c>
      <c r="C39" s="4" t="n">
        <v>0</v>
      </c>
      <c r="D39" s="4" t="n">
        <v>50</v>
      </c>
      <c r="E39" s="4" t="n">
        <v>80</v>
      </c>
      <c r="F39" t="inlineStr">
        <is>
          <t>Comprar em lotes conforme ocupação.</t>
        </is>
      </c>
    </row>
    <row r="40">
      <c r="A40" t="inlineStr">
        <is>
          <t>Custo por vault</t>
        </is>
      </c>
      <c r="B40" t="inlineStr">
        <is>
          <t>US$</t>
        </is>
      </c>
      <c r="C40" s="5" t="n">
        <v>0</v>
      </c>
      <c r="D40" s="5" t="n">
        <v>375</v>
      </c>
      <c r="E40" s="5" t="n">
        <v>375</v>
      </c>
      <c r="F40" t="inlineStr">
        <is>
          <t>PREMISSA: cotar fabricantes.</t>
        </is>
      </c>
    </row>
    <row r="41">
      <c r="A41" t="inlineStr">
        <is>
          <t>Adequação, licenças, incêndio, segurança</t>
        </is>
      </c>
      <c r="B41" t="inlineStr">
        <is>
          <t>US$</t>
        </is>
      </c>
      <c r="C41" s="5" t="n">
        <v>0</v>
      </c>
      <c r="D41" s="5" t="n">
        <v>12000</v>
      </c>
      <c r="E41" s="5" t="n">
        <v>25000</v>
      </c>
      <c r="F41" t="inlineStr">
        <is>
          <t>PREMISSA: depende de zoneamento e inspeção (Fire Marshal).</t>
        </is>
      </c>
    </row>
    <row r="42">
      <c r="A42" t="inlineStr">
        <is>
          <t>Software de inventário, etiquetas, equipamentos</t>
        </is>
      </c>
      <c r="B42" t="inlineStr">
        <is>
          <t>US$</t>
        </is>
      </c>
      <c r="C42" s="5" t="n">
        <v>4000</v>
      </c>
      <c r="D42" s="5" t="n">
        <v>6000</v>
      </c>
      <c r="E42" s="5" t="n">
        <v>6000</v>
      </c>
      <c r="F42" t="inlineStr">
        <is>
          <t>Inventário digital com fotos/código de barras é requisito prático de seguradoras.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Resultado mensal em regime (US$) — 3 estruturas x 3 casos. Não editar: tudo é fórmula.</t>
        </is>
      </c>
    </row>
    <row r="2">
      <c r="A2" s="3" t="inlineStr">
        <is>
          <t>Estrutura</t>
        </is>
      </c>
      <c r="B2" s="3" t="inlineStr">
        <is>
          <t>A - Terceirizar</t>
        </is>
      </c>
      <c r="C2" s="3" t="inlineStr">
        <is>
          <t>A - Terceirizar</t>
        </is>
      </c>
      <c r="D2" s="3" t="inlineStr">
        <is>
          <t>A - Terceirizar</t>
        </is>
      </c>
      <c r="E2" s="3" t="inlineStr">
        <is>
          <t>B - Alugar</t>
        </is>
      </c>
      <c r="F2" s="3" t="inlineStr">
        <is>
          <t>B - Alugar</t>
        </is>
      </c>
      <c r="G2" s="3" t="inlineStr">
        <is>
          <t>B - Alugar</t>
        </is>
      </c>
      <c r="H2" s="3" t="inlineStr">
        <is>
          <t>C - Comprar</t>
        </is>
      </c>
      <c r="I2" s="3" t="inlineStr">
        <is>
          <t>C - Comprar</t>
        </is>
      </c>
      <c r="J2" s="3" t="inlineStr">
        <is>
          <t>C - Comprar</t>
        </is>
      </c>
    </row>
    <row r="3">
      <c r="A3" s="3" t="inlineStr">
        <is>
          <t>Caso</t>
        </is>
      </c>
      <c r="B3" s="3" t="inlineStr">
        <is>
          <t>Conservador</t>
        </is>
      </c>
      <c r="C3" s="3" t="inlineStr">
        <is>
          <t>Base</t>
        </is>
      </c>
      <c r="D3" s="3" t="inlineStr">
        <is>
          <t>Otimista</t>
        </is>
      </c>
      <c r="E3" s="3" t="inlineStr">
        <is>
          <t>Conservador</t>
        </is>
      </c>
      <c r="F3" s="3" t="inlineStr">
        <is>
          <t>Base</t>
        </is>
      </c>
      <c r="G3" s="3" t="inlineStr">
        <is>
          <t>Otimista</t>
        </is>
      </c>
      <c r="H3" s="3" t="inlineStr">
        <is>
          <t>Conservador</t>
        </is>
      </c>
      <c r="I3" s="3" t="inlineStr">
        <is>
          <t>Base</t>
        </is>
      </c>
      <c r="J3" s="3" t="inlineStr">
        <is>
          <t>Otimista</t>
        </is>
      </c>
    </row>
    <row r="4">
      <c r="A4" s="9" t="inlineStr">
        <is>
          <t>RECEITA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</row>
    <row r="5">
      <c r="A5" t="inlineStr">
        <is>
          <t>Receita de mudanças</t>
        </is>
      </c>
      <c r="B5" s="11">
        <f>INDEX(Premissas!$C$4:$E$4,MATCH(B$3,Premissas!$C$3:$E$3,0))*INDEX(Premissas!$C$5:$E$5,MATCH(B$3,Premissas!$C$3:$E$3,0))</f>
        <v/>
      </c>
      <c r="C5" s="11">
        <f>INDEX(Premissas!$C$4:$E$4,MATCH(C$3,Premissas!$C$3:$E$3,0))*INDEX(Premissas!$C$5:$E$5,MATCH(C$3,Premissas!$C$3:$E$3,0))</f>
        <v/>
      </c>
      <c r="D5" s="11">
        <f>INDEX(Premissas!$C$4:$E$4,MATCH(D$3,Premissas!$C$3:$E$3,0))*INDEX(Premissas!$C$5:$E$5,MATCH(D$3,Premissas!$C$3:$E$3,0))</f>
        <v/>
      </c>
      <c r="E5" s="11">
        <f>INDEX(Premissas!$C$4:$E$4,MATCH(E$3,Premissas!$C$3:$E$3,0))*INDEX(Premissas!$C$5:$E$5,MATCH(E$3,Premissas!$C$3:$E$3,0))</f>
        <v/>
      </c>
      <c r="F5" s="11">
        <f>INDEX(Premissas!$C$4:$E$4,MATCH(F$3,Premissas!$C$3:$E$3,0))*INDEX(Premissas!$C$5:$E$5,MATCH(F$3,Premissas!$C$3:$E$3,0))</f>
        <v/>
      </c>
      <c r="G5" s="11">
        <f>INDEX(Premissas!$C$4:$E$4,MATCH(G$3,Premissas!$C$3:$E$3,0))*INDEX(Premissas!$C$5:$E$5,MATCH(G$3,Premissas!$C$3:$E$3,0))</f>
        <v/>
      </c>
      <c r="H5" s="11">
        <f>INDEX(Premissas!$C$4:$E$4,MATCH(H$3,Premissas!$C$3:$E$3,0))*INDEX(Premissas!$C$5:$E$5,MATCH(H$3,Premissas!$C$3:$E$3,0))</f>
        <v/>
      </c>
      <c r="I5" s="11">
        <f>INDEX(Premissas!$C$4:$E$4,MATCH(I$3,Premissas!$C$3:$E$3,0))*INDEX(Premissas!$C$5:$E$5,MATCH(I$3,Premissas!$C$3:$E$3,0))</f>
        <v/>
      </c>
      <c r="J5" s="11">
        <f>INDEX(Premissas!$C$4:$E$4,MATCH(J$3,Premissas!$C$3:$E$3,0))*INDEX(Premissas!$C$5:$E$5,MATCH(J$3,Premissas!$C$3:$E$3,0))</f>
        <v/>
      </c>
    </row>
    <row r="6">
      <c r="A6" t="inlineStr">
        <is>
          <t>Receita de pack-out (sinistros)</t>
        </is>
      </c>
      <c r="B6" s="11">
        <f>INDEX(Premissas!$C$7:$E$7,MATCH(B$3,Premissas!$C$3:$E$3,0))*INDEX(Premissas!$C$8:$E$8,MATCH(B$3,Premissas!$C$3:$E$3,0))</f>
        <v/>
      </c>
      <c r="C6" s="11">
        <f>INDEX(Premissas!$C$7:$E$7,MATCH(C$3,Premissas!$C$3:$E$3,0))*INDEX(Premissas!$C$8:$E$8,MATCH(C$3,Premissas!$C$3:$E$3,0))</f>
        <v/>
      </c>
      <c r="D6" s="11">
        <f>INDEX(Premissas!$C$7:$E$7,MATCH(D$3,Premissas!$C$3:$E$3,0))*INDEX(Premissas!$C$8:$E$8,MATCH(D$3,Premissas!$C$3:$E$3,0))</f>
        <v/>
      </c>
      <c r="E6" s="11">
        <f>INDEX(Premissas!$C$7:$E$7,MATCH(E$3,Premissas!$C$3:$E$3,0))*INDEX(Premissas!$C$8:$E$8,MATCH(E$3,Premissas!$C$3:$E$3,0))</f>
        <v/>
      </c>
      <c r="F6" s="11">
        <f>INDEX(Premissas!$C$7:$E$7,MATCH(F$3,Premissas!$C$3:$E$3,0))*INDEX(Premissas!$C$8:$E$8,MATCH(F$3,Premissas!$C$3:$E$3,0))</f>
        <v/>
      </c>
      <c r="G6" s="11">
        <f>INDEX(Premissas!$C$7:$E$7,MATCH(G$3,Premissas!$C$3:$E$3,0))*INDEX(Premissas!$C$8:$E$8,MATCH(G$3,Premissas!$C$3:$E$3,0))</f>
        <v/>
      </c>
      <c r="H6" s="11">
        <f>INDEX(Premissas!$C$7:$E$7,MATCH(H$3,Premissas!$C$3:$E$3,0))*INDEX(Premissas!$C$8:$E$8,MATCH(H$3,Premissas!$C$3:$E$3,0))</f>
        <v/>
      </c>
      <c r="I6" s="11">
        <f>INDEX(Premissas!$C$7:$E$7,MATCH(I$3,Premissas!$C$3:$E$3,0))*INDEX(Premissas!$C$8:$E$8,MATCH(I$3,Premissas!$C$3:$E$3,0))</f>
        <v/>
      </c>
      <c r="J6" s="11">
        <f>INDEX(Premissas!$C$7:$E$7,MATCH(J$3,Premissas!$C$3:$E$3,0))*INDEX(Premissas!$C$8:$E$8,MATCH(J$3,Premissas!$C$3:$E$3,0))</f>
        <v/>
      </c>
    </row>
    <row r="7">
      <c r="A7" t="inlineStr">
        <is>
          <t>Vaults ocupados (limitado à capacidade)</t>
        </is>
      </c>
      <c r="B7" s="12">
        <f>MIN(INDEX(Premissas!$C$10:$E$10,MATCH(B$3,Premissas!$C$3:$E$3,0)),INDEX(Premissas!$C$19:$E$19,MATCH(B$2,Premissas!$C$17:$E$17,0)))</f>
        <v/>
      </c>
      <c r="C7" s="12">
        <f>MIN(INDEX(Premissas!$C$10:$E$10,MATCH(C$3,Premissas!$C$3:$E$3,0)),INDEX(Premissas!$C$19:$E$19,MATCH(C$2,Premissas!$C$17:$E$17,0)))</f>
        <v/>
      </c>
      <c r="D7" s="12">
        <f>MIN(INDEX(Premissas!$C$10:$E$10,MATCH(D$3,Premissas!$C$3:$E$3,0)),INDEX(Premissas!$C$19:$E$19,MATCH(D$2,Premissas!$C$17:$E$17,0)))</f>
        <v/>
      </c>
      <c r="E7" s="12">
        <f>MIN(INDEX(Premissas!$C$10:$E$10,MATCH(E$3,Premissas!$C$3:$E$3,0)),INDEX(Premissas!$C$19:$E$19,MATCH(E$2,Premissas!$C$17:$E$17,0)))</f>
        <v/>
      </c>
      <c r="F7" s="12">
        <f>MIN(INDEX(Premissas!$C$10:$E$10,MATCH(F$3,Premissas!$C$3:$E$3,0)),INDEX(Premissas!$C$19:$E$19,MATCH(F$2,Premissas!$C$17:$E$17,0)))</f>
        <v/>
      </c>
      <c r="G7" s="12">
        <f>MIN(INDEX(Premissas!$C$10:$E$10,MATCH(G$3,Premissas!$C$3:$E$3,0)),INDEX(Premissas!$C$19:$E$19,MATCH(G$2,Premissas!$C$17:$E$17,0)))</f>
        <v/>
      </c>
      <c r="H7" s="12">
        <f>MIN(INDEX(Premissas!$C$10:$E$10,MATCH(H$3,Premissas!$C$3:$E$3,0)),INDEX(Premissas!$C$19:$E$19,MATCH(H$2,Premissas!$C$17:$E$17,0)))</f>
        <v/>
      </c>
      <c r="I7" s="12">
        <f>MIN(INDEX(Premissas!$C$10:$E$10,MATCH(I$3,Premissas!$C$3:$E$3,0)),INDEX(Premissas!$C$19:$E$19,MATCH(I$2,Premissas!$C$17:$E$17,0)))</f>
        <v/>
      </c>
      <c r="J7" s="12">
        <f>MIN(INDEX(Premissas!$C$10:$E$10,MATCH(J$3,Premissas!$C$3:$E$3,0)),INDEX(Premissas!$C$19:$E$19,MATCH(J$2,Premissas!$C$17:$E$17,0)))</f>
        <v/>
      </c>
    </row>
    <row r="8">
      <c r="A8" t="inlineStr">
        <is>
          <t>Receita de armazenagem</t>
        </is>
      </c>
      <c r="B8" s="11">
        <f>B7*INDEX(Premissas!$C$11:$E$11,MATCH(B$3,Premissas!$C$3:$E$3,0))</f>
        <v/>
      </c>
      <c r="C8" s="11">
        <f>C7*INDEX(Premissas!$C$11:$E$11,MATCH(C$3,Premissas!$C$3:$E$3,0))</f>
        <v/>
      </c>
      <c r="D8" s="11">
        <f>D7*INDEX(Premissas!$C$11:$E$11,MATCH(D$3,Premissas!$C$3:$E$3,0))</f>
        <v/>
      </c>
      <c r="E8" s="11">
        <f>E7*INDEX(Premissas!$C$11:$E$11,MATCH(E$3,Premissas!$C$3:$E$3,0))</f>
        <v/>
      </c>
      <c r="F8" s="11">
        <f>F7*INDEX(Premissas!$C$11:$E$11,MATCH(F$3,Premissas!$C$3:$E$3,0))</f>
        <v/>
      </c>
      <c r="G8" s="11">
        <f>G7*INDEX(Premissas!$C$11:$E$11,MATCH(G$3,Premissas!$C$3:$E$3,0))</f>
        <v/>
      </c>
      <c r="H8" s="11">
        <f>H7*INDEX(Premissas!$C$11:$E$11,MATCH(H$3,Premissas!$C$3:$E$3,0))</f>
        <v/>
      </c>
      <c r="I8" s="11">
        <f>I7*INDEX(Premissas!$C$11:$E$11,MATCH(I$3,Premissas!$C$3:$E$3,0))</f>
        <v/>
      </c>
      <c r="J8" s="11">
        <f>J7*INDEX(Premissas!$C$11:$E$11,MATCH(J$3,Premissas!$C$3:$E$3,0))</f>
        <v/>
      </c>
    </row>
    <row r="9">
      <c r="A9" t="inlineStr">
        <is>
          <t>Receita governo (contratos assinados)</t>
        </is>
      </c>
      <c r="B9" s="11">
        <f>INDEX(Premissas!$C$15:$E$15,MATCH(B$3,Premissas!$C$3:$E$3,0))</f>
        <v/>
      </c>
      <c r="C9" s="11">
        <f>INDEX(Premissas!$C$15:$E$15,MATCH(C$3,Premissas!$C$3:$E$3,0))</f>
        <v/>
      </c>
      <c r="D9" s="11">
        <f>INDEX(Premissas!$C$15:$E$15,MATCH(D$3,Premissas!$C$3:$E$3,0))</f>
        <v/>
      </c>
      <c r="E9" s="11">
        <f>INDEX(Premissas!$C$15:$E$15,MATCH(E$3,Premissas!$C$3:$E$3,0))</f>
        <v/>
      </c>
      <c r="F9" s="11">
        <f>INDEX(Premissas!$C$15:$E$15,MATCH(F$3,Premissas!$C$3:$E$3,0))</f>
        <v/>
      </c>
      <c r="G9" s="11">
        <f>INDEX(Premissas!$C$15:$E$15,MATCH(G$3,Premissas!$C$3:$E$3,0))</f>
        <v/>
      </c>
      <c r="H9" s="11">
        <f>INDEX(Premissas!$C$15:$E$15,MATCH(H$3,Premissas!$C$3:$E$3,0))</f>
        <v/>
      </c>
      <c r="I9" s="11">
        <f>INDEX(Premissas!$C$15:$E$15,MATCH(I$3,Premissas!$C$3:$E$3,0))</f>
        <v/>
      </c>
      <c r="J9" s="11">
        <f>INDEX(Premissas!$C$15:$E$15,MATCH(J$3,Premissas!$C$3:$E$3,0))</f>
        <v/>
      </c>
    </row>
    <row r="10">
      <c r="A10" t="inlineStr">
        <is>
          <t>Receita de sublocação</t>
        </is>
      </c>
      <c r="B10" s="11">
        <f>INDEX(Premissas!$C$27:$E$27,MATCH(B$2,Premissas!$C$17:$E$17,0))</f>
        <v/>
      </c>
      <c r="C10" s="11">
        <f>INDEX(Premissas!$C$27:$E$27,MATCH(C$2,Premissas!$C$17:$E$17,0))</f>
        <v/>
      </c>
      <c r="D10" s="11">
        <f>INDEX(Premissas!$C$27:$E$27,MATCH(D$2,Premissas!$C$17:$E$17,0))</f>
        <v/>
      </c>
      <c r="E10" s="11">
        <f>INDEX(Premissas!$C$27:$E$27,MATCH(E$2,Premissas!$C$17:$E$17,0))</f>
        <v/>
      </c>
      <c r="F10" s="11">
        <f>INDEX(Premissas!$C$27:$E$27,MATCH(F$2,Premissas!$C$17:$E$17,0))</f>
        <v/>
      </c>
      <c r="G10" s="11">
        <f>INDEX(Premissas!$C$27:$E$27,MATCH(G$2,Premissas!$C$17:$E$17,0))</f>
        <v/>
      </c>
      <c r="H10" s="11">
        <f>INDEX(Premissas!$C$27:$E$27,MATCH(H$2,Premissas!$C$17:$E$17,0))</f>
        <v/>
      </c>
      <c r="I10" s="11">
        <f>INDEX(Premissas!$C$27:$E$27,MATCH(I$2,Premissas!$C$17:$E$17,0))</f>
        <v/>
      </c>
      <c r="J10" s="11">
        <f>INDEX(Premissas!$C$27:$E$27,MATCH(J$2,Premissas!$C$17:$E$17,0))</f>
        <v/>
      </c>
    </row>
    <row r="11">
      <c r="A11" s="13" t="inlineStr">
        <is>
          <t>RECEITA TOTAL</t>
        </is>
      </c>
      <c r="B11" s="14">
        <f>SUM(B5,B6,B8,B9,B10)</f>
        <v/>
      </c>
      <c r="C11" s="14">
        <f>SUM(C5,C6,C8,C9,C10)</f>
        <v/>
      </c>
      <c r="D11" s="14">
        <f>SUM(D5,D6,D8,D9,D10)</f>
        <v/>
      </c>
      <c r="E11" s="14">
        <f>SUM(E5,E6,E8,E9,E10)</f>
        <v/>
      </c>
      <c r="F11" s="14">
        <f>SUM(F5,F6,F8,F9,F10)</f>
        <v/>
      </c>
      <c r="G11" s="14">
        <f>SUM(G5,G6,G8,G9,G10)</f>
        <v/>
      </c>
      <c r="H11" s="14">
        <f>SUM(H5,H6,H8,H9,H10)</f>
        <v/>
      </c>
      <c r="I11" s="14">
        <f>SUM(I5,I6,I8,I9,I10)</f>
        <v/>
      </c>
      <c r="J11" s="14">
        <f>SUM(J5,J6,J8,J9,J10)</f>
        <v/>
      </c>
    </row>
    <row r="12">
      <c r="A12" s="9" t="inlineStr">
        <is>
          <t>CUSTOS VARIÁVEIS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</row>
    <row r="13">
      <c r="A13" t="inlineStr">
        <is>
          <t>CV mudanças</t>
        </is>
      </c>
      <c r="B13" s="11">
        <f>B5*INDEX(Premissas!$C$6:$E$6,MATCH(B$3,Premissas!$C$3:$E$3,0))</f>
        <v/>
      </c>
      <c r="C13" s="11">
        <f>C5*INDEX(Premissas!$C$6:$E$6,MATCH(C$3,Premissas!$C$3:$E$3,0))</f>
        <v/>
      </c>
      <c r="D13" s="11">
        <f>D5*INDEX(Premissas!$C$6:$E$6,MATCH(D$3,Premissas!$C$3:$E$3,0))</f>
        <v/>
      </c>
      <c r="E13" s="11">
        <f>E5*INDEX(Premissas!$C$6:$E$6,MATCH(E$3,Premissas!$C$3:$E$3,0))</f>
        <v/>
      </c>
      <c r="F13" s="11">
        <f>F5*INDEX(Premissas!$C$6:$E$6,MATCH(F$3,Premissas!$C$3:$E$3,0))</f>
        <v/>
      </c>
      <c r="G13" s="11">
        <f>G5*INDEX(Premissas!$C$6:$E$6,MATCH(G$3,Premissas!$C$3:$E$3,0))</f>
        <v/>
      </c>
      <c r="H13" s="11">
        <f>H5*INDEX(Premissas!$C$6:$E$6,MATCH(H$3,Premissas!$C$3:$E$3,0))</f>
        <v/>
      </c>
      <c r="I13" s="11">
        <f>I5*INDEX(Premissas!$C$6:$E$6,MATCH(I$3,Premissas!$C$3:$E$3,0))</f>
        <v/>
      </c>
      <c r="J13" s="11">
        <f>J5*INDEX(Premissas!$C$6:$E$6,MATCH(J$3,Premissas!$C$3:$E$3,0))</f>
        <v/>
      </c>
    </row>
    <row r="14">
      <c r="A14" t="inlineStr">
        <is>
          <t>CV pack-out</t>
        </is>
      </c>
      <c r="B14" s="11">
        <f>B6*INDEX(Premissas!$C$9:$E$9,MATCH(B$3,Premissas!$C$3:$E$3,0))</f>
        <v/>
      </c>
      <c r="C14" s="11">
        <f>C6*INDEX(Premissas!$C$9:$E$9,MATCH(C$3,Premissas!$C$3:$E$3,0))</f>
        <v/>
      </c>
      <c r="D14" s="11">
        <f>D6*INDEX(Premissas!$C$9:$E$9,MATCH(D$3,Premissas!$C$3:$E$3,0))</f>
        <v/>
      </c>
      <c r="E14" s="11">
        <f>E6*INDEX(Premissas!$C$9:$E$9,MATCH(E$3,Premissas!$C$3:$E$3,0))</f>
        <v/>
      </c>
      <c r="F14" s="11">
        <f>F6*INDEX(Premissas!$C$9:$E$9,MATCH(F$3,Premissas!$C$3:$E$3,0))</f>
        <v/>
      </c>
      <c r="G14" s="11">
        <f>G6*INDEX(Premissas!$C$9:$E$9,MATCH(G$3,Premissas!$C$3:$E$3,0))</f>
        <v/>
      </c>
      <c r="H14" s="11">
        <f>H6*INDEX(Premissas!$C$9:$E$9,MATCH(H$3,Premissas!$C$3:$E$3,0))</f>
        <v/>
      </c>
      <c r="I14" s="11">
        <f>I6*INDEX(Premissas!$C$9:$E$9,MATCH(I$3,Premissas!$C$3:$E$3,0))</f>
        <v/>
      </c>
      <c r="J14" s="11">
        <f>J6*INDEX(Premissas!$C$9:$E$9,MATCH(J$3,Premissas!$C$3:$E$3,0))</f>
        <v/>
      </c>
    </row>
    <row r="15">
      <c r="A15" t="inlineStr">
        <is>
          <t>CV armazenagem (manuseio + custo terceirizado)</t>
        </is>
      </c>
      <c r="B15" s="11">
        <f>B7*(INDEX(Premissas!$C$12:$E$12,MATCH(B$3,Premissas!$C$3:$E$3,0))+INDEX(Premissas!$C$20:$E$20,MATCH(B$2,Premissas!$C$17:$E$17,0)))</f>
        <v/>
      </c>
      <c r="C15" s="11">
        <f>C7*(INDEX(Premissas!$C$12:$E$12,MATCH(C$3,Premissas!$C$3:$E$3,0))+INDEX(Premissas!$C$20:$E$20,MATCH(C$2,Premissas!$C$17:$E$17,0)))</f>
        <v/>
      </c>
      <c r="D15" s="11">
        <f>D7*(INDEX(Premissas!$C$12:$E$12,MATCH(D$3,Premissas!$C$3:$E$3,0))+INDEX(Premissas!$C$20:$E$20,MATCH(D$2,Premissas!$C$17:$E$17,0)))</f>
        <v/>
      </c>
      <c r="E15" s="11">
        <f>E7*(INDEX(Premissas!$C$12:$E$12,MATCH(E$3,Premissas!$C$3:$E$3,0))+INDEX(Premissas!$C$20:$E$20,MATCH(E$2,Premissas!$C$17:$E$17,0)))</f>
        <v/>
      </c>
      <c r="F15" s="11">
        <f>F7*(INDEX(Premissas!$C$12:$E$12,MATCH(F$3,Premissas!$C$3:$E$3,0))+INDEX(Premissas!$C$20:$E$20,MATCH(F$2,Premissas!$C$17:$E$17,0)))</f>
        <v/>
      </c>
      <c r="G15" s="11">
        <f>G7*(INDEX(Premissas!$C$12:$E$12,MATCH(G$3,Premissas!$C$3:$E$3,0))+INDEX(Premissas!$C$20:$E$20,MATCH(G$2,Premissas!$C$17:$E$17,0)))</f>
        <v/>
      </c>
      <c r="H15" s="11">
        <f>H7*(INDEX(Premissas!$C$12:$E$12,MATCH(H$3,Premissas!$C$3:$E$3,0))+INDEX(Premissas!$C$20:$E$20,MATCH(H$2,Premissas!$C$17:$E$17,0)))</f>
        <v/>
      </c>
      <c r="I15" s="11">
        <f>I7*(INDEX(Premissas!$C$12:$E$12,MATCH(I$3,Premissas!$C$3:$E$3,0))+INDEX(Premissas!$C$20:$E$20,MATCH(I$2,Premissas!$C$17:$E$17,0)))</f>
        <v/>
      </c>
      <c r="J15" s="11">
        <f>J7*(INDEX(Premissas!$C$12:$E$12,MATCH(J$3,Premissas!$C$3:$E$3,0))+INDEX(Premissas!$C$20:$E$20,MATCH(J$2,Premissas!$C$17:$E$17,0)))</f>
        <v/>
      </c>
    </row>
    <row r="16">
      <c r="A16" t="inlineStr">
        <is>
          <t>CV governo (premissa 60%)</t>
        </is>
      </c>
      <c r="B16" s="11">
        <f>B9*0.6</f>
        <v/>
      </c>
      <c r="C16" s="11">
        <f>C9*0.6</f>
        <v/>
      </c>
      <c r="D16" s="11">
        <f>D9*0.6</f>
        <v/>
      </c>
      <c r="E16" s="11">
        <f>E9*0.6</f>
        <v/>
      </c>
      <c r="F16" s="11">
        <f>F9*0.6</f>
        <v/>
      </c>
      <c r="G16" s="11">
        <f>G9*0.6</f>
        <v/>
      </c>
      <c r="H16" s="11">
        <f>H9*0.6</f>
        <v/>
      </c>
      <c r="I16" s="11">
        <f>I9*0.6</f>
        <v/>
      </c>
      <c r="J16" s="11">
        <f>J9*0.6</f>
        <v/>
      </c>
    </row>
    <row r="17">
      <c r="A17" s="13" t="inlineStr">
        <is>
          <t>CUSTO VARIÁVEL TOTAL</t>
        </is>
      </c>
      <c r="B17" s="14">
        <f>SUM(B13,B14,B15,B16)</f>
        <v/>
      </c>
      <c r="C17" s="14">
        <f>SUM(C13,C14,C15,C16)</f>
        <v/>
      </c>
      <c r="D17" s="14">
        <f>SUM(D13,D14,D15,D16)</f>
        <v/>
      </c>
      <c r="E17" s="14">
        <f>SUM(E13,E14,E15,E16)</f>
        <v/>
      </c>
      <c r="F17" s="14">
        <f>SUM(F13,F14,F15,F16)</f>
        <v/>
      </c>
      <c r="G17" s="14">
        <f>SUM(G13,G14,G15,G16)</f>
        <v/>
      </c>
      <c r="H17" s="14">
        <f>SUM(H13,H14,H15,H16)</f>
        <v/>
      </c>
      <c r="I17" s="14">
        <f>SUM(I13,I14,I15,I16)</f>
        <v/>
      </c>
      <c r="J17" s="14">
        <f>SUM(J13,J14,J15,J16)</f>
        <v/>
      </c>
    </row>
    <row r="18">
      <c r="A18" s="13" t="inlineStr">
        <is>
          <t>MARGEM DE CONTRIBUIÇÃO</t>
        </is>
      </c>
      <c r="B18" s="14">
        <f>B11-B17</f>
        <v/>
      </c>
      <c r="C18" s="14">
        <f>C11-C17</f>
        <v/>
      </c>
      <c r="D18" s="14">
        <f>D11-D17</f>
        <v/>
      </c>
      <c r="E18" s="14">
        <f>E11-E17</f>
        <v/>
      </c>
      <c r="F18" s="14">
        <f>F11-F17</f>
        <v/>
      </c>
      <c r="G18" s="14">
        <f>G11-G17</f>
        <v/>
      </c>
      <c r="H18" s="14">
        <f>H11-H17</f>
        <v/>
      </c>
      <c r="I18" s="14">
        <f>I11-I17</f>
        <v/>
      </c>
      <c r="J18" s="14">
        <f>J11-J17</f>
        <v/>
      </c>
    </row>
    <row r="19">
      <c r="A19" t="inlineStr">
        <is>
          <t>Margem de contribuição %</t>
        </is>
      </c>
      <c r="B19" s="15">
        <f>IF(B11&gt;0,B18/B11,0)</f>
        <v/>
      </c>
      <c r="C19" s="15">
        <f>IF(C11&gt;0,C18/C11,0)</f>
        <v/>
      </c>
      <c r="D19" s="15">
        <f>IF(D11&gt;0,D18/D11,0)</f>
        <v/>
      </c>
      <c r="E19" s="15">
        <f>IF(E11&gt;0,E18/E11,0)</f>
        <v/>
      </c>
      <c r="F19" s="15">
        <f>IF(F11&gt;0,F18/F11,0)</f>
        <v/>
      </c>
      <c r="G19" s="15">
        <f>IF(G11&gt;0,G18/G11,0)</f>
        <v/>
      </c>
      <c r="H19" s="15">
        <f>IF(H11&gt;0,H18/H11,0)</f>
        <v/>
      </c>
      <c r="I19" s="15">
        <f>IF(I11&gt;0,I18/I11,0)</f>
        <v/>
      </c>
      <c r="J19" s="15">
        <f>IF(J11&gt;0,J18/J11,0)</f>
        <v/>
      </c>
    </row>
    <row r="20">
      <c r="A20" s="9" t="inlineStr">
        <is>
          <t>CUSTOS FIXOS (mensal)</t>
        </is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t="inlineStr">
        <is>
          <t>Custo fixo base</t>
        </is>
      </c>
      <c r="B21" s="11">
        <f>INDEX(Premissas!$C$25:$E$25,MATCH(B$2,Premissas!$C$17:$E$17,0))</f>
        <v/>
      </c>
      <c r="C21" s="11">
        <f>INDEX(Premissas!$C$25:$E$25,MATCH(C$2,Premissas!$C$17:$E$17,0))</f>
        <v/>
      </c>
      <c r="D21" s="11">
        <f>INDEX(Premissas!$C$25:$E$25,MATCH(D$2,Premissas!$C$17:$E$17,0))</f>
        <v/>
      </c>
      <c r="E21" s="11">
        <f>INDEX(Premissas!$C$25:$E$25,MATCH(E$2,Premissas!$C$17:$E$17,0))</f>
        <v/>
      </c>
      <c r="F21" s="11">
        <f>INDEX(Premissas!$C$25:$E$25,MATCH(F$2,Premissas!$C$17:$E$17,0))</f>
        <v/>
      </c>
      <c r="G21" s="11">
        <f>INDEX(Premissas!$C$25:$E$25,MATCH(G$2,Premissas!$C$17:$E$17,0))</f>
        <v/>
      </c>
      <c r="H21" s="11">
        <f>INDEX(Premissas!$C$25:$E$25,MATCH(H$2,Premissas!$C$17:$E$17,0))</f>
        <v/>
      </c>
      <c r="I21" s="11">
        <f>INDEX(Premissas!$C$25:$E$25,MATCH(I$2,Premissas!$C$17:$E$17,0))</f>
        <v/>
      </c>
      <c r="J21" s="11">
        <f>INDEX(Premissas!$C$25:$E$25,MATCH(J$2,Premissas!$C$17:$E$17,0))</f>
        <v/>
      </c>
    </row>
    <row r="22">
      <c r="A22" t="inlineStr">
        <is>
          <t>Aluguel + CAM</t>
        </is>
      </c>
      <c r="B22" s="11">
        <f>INDEX(Premissas!$C$18:$E$18,MATCH(B$2,Premissas!$C$17:$E$17,0))*(INDEX(Premissas!$C$21:$E$21,MATCH(B$2,Premissas!$C$17:$E$17,0))+INDEX(Premissas!$C$22:$E$22,MATCH(B$2,Premissas!$C$17:$E$17,0)))/12</f>
        <v/>
      </c>
      <c r="C22" s="11">
        <f>INDEX(Premissas!$C$18:$E$18,MATCH(C$2,Premissas!$C$17:$E$17,0))*(INDEX(Premissas!$C$21:$E$21,MATCH(C$2,Premissas!$C$17:$E$17,0))+INDEX(Premissas!$C$22:$E$22,MATCH(C$2,Premissas!$C$17:$E$17,0)))/12</f>
        <v/>
      </c>
      <c r="D22" s="11">
        <f>INDEX(Premissas!$C$18:$E$18,MATCH(D$2,Premissas!$C$17:$E$17,0))*(INDEX(Premissas!$C$21:$E$21,MATCH(D$2,Premissas!$C$17:$E$17,0))+INDEX(Premissas!$C$22:$E$22,MATCH(D$2,Premissas!$C$17:$E$17,0)))/12</f>
        <v/>
      </c>
      <c r="E22" s="11">
        <f>INDEX(Premissas!$C$18:$E$18,MATCH(E$2,Premissas!$C$17:$E$17,0))*(INDEX(Premissas!$C$21:$E$21,MATCH(E$2,Premissas!$C$17:$E$17,0))+INDEX(Premissas!$C$22:$E$22,MATCH(E$2,Premissas!$C$17:$E$17,0)))/12</f>
        <v/>
      </c>
      <c r="F22" s="11">
        <f>INDEX(Premissas!$C$18:$E$18,MATCH(F$2,Premissas!$C$17:$E$17,0))*(INDEX(Premissas!$C$21:$E$21,MATCH(F$2,Premissas!$C$17:$E$17,0))+INDEX(Premissas!$C$22:$E$22,MATCH(F$2,Premissas!$C$17:$E$17,0)))/12</f>
        <v/>
      </c>
      <c r="G22" s="11">
        <f>INDEX(Premissas!$C$18:$E$18,MATCH(G$2,Premissas!$C$17:$E$17,0))*(INDEX(Premissas!$C$21:$E$21,MATCH(G$2,Premissas!$C$17:$E$17,0))+INDEX(Premissas!$C$22:$E$22,MATCH(G$2,Premissas!$C$17:$E$17,0)))/12</f>
        <v/>
      </c>
      <c r="H22" s="11">
        <f>INDEX(Premissas!$C$18:$E$18,MATCH(H$2,Premissas!$C$17:$E$17,0))*(INDEX(Premissas!$C$21:$E$21,MATCH(H$2,Premissas!$C$17:$E$17,0))+INDEX(Premissas!$C$22:$E$22,MATCH(H$2,Premissas!$C$17:$E$17,0)))/12</f>
        <v/>
      </c>
      <c r="I22" s="11">
        <f>INDEX(Premissas!$C$18:$E$18,MATCH(I$2,Premissas!$C$17:$E$17,0))*(INDEX(Premissas!$C$21:$E$21,MATCH(I$2,Premissas!$C$17:$E$17,0))+INDEX(Premissas!$C$22:$E$22,MATCH(I$2,Premissas!$C$17:$E$17,0)))/12</f>
        <v/>
      </c>
      <c r="J22" s="11">
        <f>INDEX(Premissas!$C$18:$E$18,MATCH(J$2,Premissas!$C$17:$E$17,0))*(INDEX(Premissas!$C$21:$E$21,MATCH(J$2,Premissas!$C$17:$E$17,0))+INDEX(Premissas!$C$22:$E$22,MATCH(J$2,Premissas!$C$17:$E$17,0)))/12</f>
        <v/>
      </c>
    </row>
    <row r="23">
      <c r="A23" t="inlineStr">
        <is>
          <t>Utilidades + manutenção</t>
        </is>
      </c>
      <c r="B23" s="11">
        <f>INDEX(Premissas!$C$23:$E$23,MATCH(B$2,Premissas!$C$17:$E$17,0))</f>
        <v/>
      </c>
      <c r="C23" s="11">
        <f>INDEX(Premissas!$C$23:$E$23,MATCH(C$2,Premissas!$C$17:$E$17,0))</f>
        <v/>
      </c>
      <c r="D23" s="11">
        <f>INDEX(Premissas!$C$23:$E$23,MATCH(D$2,Premissas!$C$17:$E$17,0))</f>
        <v/>
      </c>
      <c r="E23" s="11">
        <f>INDEX(Premissas!$C$23:$E$23,MATCH(E$2,Premissas!$C$17:$E$17,0))</f>
        <v/>
      </c>
      <c r="F23" s="11">
        <f>INDEX(Premissas!$C$23:$E$23,MATCH(F$2,Premissas!$C$17:$E$17,0))</f>
        <v/>
      </c>
      <c r="G23" s="11">
        <f>INDEX(Premissas!$C$23:$E$23,MATCH(G$2,Premissas!$C$17:$E$17,0))</f>
        <v/>
      </c>
      <c r="H23" s="11">
        <f>INDEX(Premissas!$C$23:$E$23,MATCH(H$2,Premissas!$C$17:$E$17,0))</f>
        <v/>
      </c>
      <c r="I23" s="11">
        <f>INDEX(Premissas!$C$23:$E$23,MATCH(I$2,Premissas!$C$17:$E$17,0))</f>
        <v/>
      </c>
      <c r="J23" s="11">
        <f>INDEX(Premissas!$C$23:$E$23,MATCH(J$2,Premissas!$C$17:$E$17,0))</f>
        <v/>
      </c>
    </row>
    <row r="24">
      <c r="A24" t="inlineStr">
        <is>
          <t>Seguro de armazém</t>
        </is>
      </c>
      <c r="B24" s="11">
        <f>INDEX(Premissas!$C$24:$E$24,MATCH(B$2,Premissas!$C$17:$E$17,0))</f>
        <v/>
      </c>
      <c r="C24" s="11">
        <f>INDEX(Premissas!$C$24:$E$24,MATCH(C$2,Premissas!$C$17:$E$17,0))</f>
        <v/>
      </c>
      <c r="D24" s="11">
        <f>INDEX(Premissas!$C$24:$E$24,MATCH(D$2,Premissas!$C$17:$E$17,0))</f>
        <v/>
      </c>
      <c r="E24" s="11">
        <f>INDEX(Premissas!$C$24:$E$24,MATCH(E$2,Premissas!$C$17:$E$17,0))</f>
        <v/>
      </c>
      <c r="F24" s="11">
        <f>INDEX(Premissas!$C$24:$E$24,MATCH(F$2,Premissas!$C$17:$E$17,0))</f>
        <v/>
      </c>
      <c r="G24" s="11">
        <f>INDEX(Premissas!$C$24:$E$24,MATCH(G$2,Premissas!$C$17:$E$17,0))</f>
        <v/>
      </c>
      <c r="H24" s="11">
        <f>INDEX(Premissas!$C$24:$E$24,MATCH(H$2,Premissas!$C$17:$E$17,0))</f>
        <v/>
      </c>
      <c r="I24" s="11">
        <f>INDEX(Premissas!$C$24:$E$24,MATCH(I$2,Premissas!$C$17:$E$17,0))</f>
        <v/>
      </c>
      <c r="J24" s="11">
        <f>INDEX(Premissas!$C$24:$E$24,MATCH(J$2,Premissas!$C$17:$E$17,0))</f>
        <v/>
      </c>
    </row>
    <row r="25">
      <c r="A25" t="inlineStr">
        <is>
          <t>Pessoal do armazém</t>
        </is>
      </c>
      <c r="B25" s="11">
        <f>INDEX(Premissas!$C$26:$E$26,MATCH(B$2,Premissas!$C$17:$E$17,0))</f>
        <v/>
      </c>
      <c r="C25" s="11">
        <f>INDEX(Premissas!$C$26:$E$26,MATCH(C$2,Premissas!$C$17:$E$17,0))</f>
        <v/>
      </c>
      <c r="D25" s="11">
        <f>INDEX(Premissas!$C$26:$E$26,MATCH(D$2,Premissas!$C$17:$E$17,0))</f>
        <v/>
      </c>
      <c r="E25" s="11">
        <f>INDEX(Premissas!$C$26:$E$26,MATCH(E$2,Premissas!$C$17:$E$17,0))</f>
        <v/>
      </c>
      <c r="F25" s="11">
        <f>INDEX(Premissas!$C$26:$E$26,MATCH(F$2,Premissas!$C$17:$E$17,0))</f>
        <v/>
      </c>
      <c r="G25" s="11">
        <f>INDEX(Premissas!$C$26:$E$26,MATCH(G$2,Premissas!$C$17:$E$17,0))</f>
        <v/>
      </c>
      <c r="H25" s="11">
        <f>INDEX(Premissas!$C$26:$E$26,MATCH(H$2,Premissas!$C$17:$E$17,0))</f>
        <v/>
      </c>
      <c r="I25" s="11">
        <f>INDEX(Premissas!$C$26:$E$26,MATCH(I$2,Premissas!$C$17:$E$17,0))</f>
        <v/>
      </c>
      <c r="J25" s="11">
        <f>INDEX(Premissas!$C$26:$E$26,MATCH(J$2,Premissas!$C$17:$E$17,0))</f>
        <v/>
      </c>
    </row>
    <row r="26">
      <c r="A26" t="inlineStr">
        <is>
          <t>Valor do imóvel (memória)</t>
        </is>
      </c>
      <c r="B26" s="11">
        <f>INDEX(Premissas!$C$18:$E$18,MATCH(B$2,Premissas!$C$17:$E$17,0))*INDEX(Premissas!$C$28:$E$28,MATCH(B$2,Premissas!$C$17:$E$17,0))</f>
        <v/>
      </c>
      <c r="C26" s="11">
        <f>INDEX(Premissas!$C$18:$E$18,MATCH(C$2,Premissas!$C$17:$E$17,0))*INDEX(Premissas!$C$28:$E$28,MATCH(C$2,Premissas!$C$17:$E$17,0))</f>
        <v/>
      </c>
      <c r="D26" s="11">
        <f>INDEX(Premissas!$C$18:$E$18,MATCH(D$2,Premissas!$C$17:$E$17,0))*INDEX(Premissas!$C$28:$E$28,MATCH(D$2,Premissas!$C$17:$E$17,0))</f>
        <v/>
      </c>
      <c r="E26" s="11">
        <f>INDEX(Premissas!$C$18:$E$18,MATCH(E$2,Premissas!$C$17:$E$17,0))*INDEX(Premissas!$C$28:$E$28,MATCH(E$2,Premissas!$C$17:$E$17,0))</f>
        <v/>
      </c>
      <c r="F26" s="11">
        <f>INDEX(Premissas!$C$18:$E$18,MATCH(F$2,Premissas!$C$17:$E$17,0))*INDEX(Premissas!$C$28:$E$28,MATCH(F$2,Premissas!$C$17:$E$17,0))</f>
        <v/>
      </c>
      <c r="G26" s="11">
        <f>INDEX(Premissas!$C$18:$E$18,MATCH(G$2,Premissas!$C$17:$E$17,0))*INDEX(Premissas!$C$28:$E$28,MATCH(G$2,Premissas!$C$17:$E$17,0))</f>
        <v/>
      </c>
      <c r="H26" s="11">
        <f>INDEX(Premissas!$C$18:$E$18,MATCH(H$2,Premissas!$C$17:$E$17,0))*INDEX(Premissas!$C$28:$E$28,MATCH(H$2,Premissas!$C$17:$E$17,0))</f>
        <v/>
      </c>
      <c r="I26" s="11">
        <f>INDEX(Premissas!$C$18:$E$18,MATCH(I$2,Premissas!$C$17:$E$17,0))*INDEX(Premissas!$C$28:$E$28,MATCH(I$2,Premissas!$C$17:$E$17,0))</f>
        <v/>
      </c>
      <c r="J26" s="11">
        <f>INDEX(Premissas!$C$18:$E$18,MATCH(J$2,Premissas!$C$17:$E$17,0))*INDEX(Premissas!$C$28:$E$28,MATCH(J$2,Premissas!$C$17:$E$17,0))</f>
        <v/>
      </c>
    </row>
    <row r="27">
      <c r="A27" t="inlineStr">
        <is>
          <t>Parcela banco</t>
        </is>
      </c>
      <c r="B27" s="11">
        <f>IF(INDEX(Premissas!$C$34:$E$34,MATCH(B$2,Premissas!$C$17:$E$17,0))&gt;0,PMT(INDEX(Premissas!$C$31:$E$31,MATCH(B$2,Premissas!$C$17:$E$17,0))/12,INDEX(Premissas!$C$34:$E$34,MATCH(B$2,Premissas!$C$17:$E$17,0))*12,-B26*INDEX(Premissas!$C$30:$E$30,MATCH(B$2,Premissas!$C$17:$E$17,0))),0)</f>
        <v/>
      </c>
      <c r="C27" s="11">
        <f>IF(INDEX(Premissas!$C$34:$E$34,MATCH(C$2,Premissas!$C$17:$E$17,0))&gt;0,PMT(INDEX(Premissas!$C$31:$E$31,MATCH(C$2,Premissas!$C$17:$E$17,0))/12,INDEX(Premissas!$C$34:$E$34,MATCH(C$2,Premissas!$C$17:$E$17,0))*12,-C26*INDEX(Premissas!$C$30:$E$30,MATCH(C$2,Premissas!$C$17:$E$17,0))),0)</f>
        <v/>
      </c>
      <c r="D27" s="11">
        <f>IF(INDEX(Premissas!$C$34:$E$34,MATCH(D$2,Premissas!$C$17:$E$17,0))&gt;0,PMT(INDEX(Premissas!$C$31:$E$31,MATCH(D$2,Premissas!$C$17:$E$17,0))/12,INDEX(Premissas!$C$34:$E$34,MATCH(D$2,Premissas!$C$17:$E$17,0))*12,-D26*INDEX(Premissas!$C$30:$E$30,MATCH(D$2,Premissas!$C$17:$E$17,0))),0)</f>
        <v/>
      </c>
      <c r="E27" s="11">
        <f>IF(INDEX(Premissas!$C$34:$E$34,MATCH(E$2,Premissas!$C$17:$E$17,0))&gt;0,PMT(INDEX(Premissas!$C$31:$E$31,MATCH(E$2,Premissas!$C$17:$E$17,0))/12,INDEX(Premissas!$C$34:$E$34,MATCH(E$2,Premissas!$C$17:$E$17,0))*12,-E26*INDEX(Premissas!$C$30:$E$30,MATCH(E$2,Premissas!$C$17:$E$17,0))),0)</f>
        <v/>
      </c>
      <c r="F27" s="11">
        <f>IF(INDEX(Premissas!$C$34:$E$34,MATCH(F$2,Premissas!$C$17:$E$17,0))&gt;0,PMT(INDEX(Premissas!$C$31:$E$31,MATCH(F$2,Premissas!$C$17:$E$17,0))/12,INDEX(Premissas!$C$34:$E$34,MATCH(F$2,Premissas!$C$17:$E$17,0))*12,-F26*INDEX(Premissas!$C$30:$E$30,MATCH(F$2,Premissas!$C$17:$E$17,0))),0)</f>
        <v/>
      </c>
      <c r="G27" s="11">
        <f>IF(INDEX(Premissas!$C$34:$E$34,MATCH(G$2,Premissas!$C$17:$E$17,0))&gt;0,PMT(INDEX(Premissas!$C$31:$E$31,MATCH(G$2,Premissas!$C$17:$E$17,0))/12,INDEX(Premissas!$C$34:$E$34,MATCH(G$2,Premissas!$C$17:$E$17,0))*12,-G26*INDEX(Premissas!$C$30:$E$30,MATCH(G$2,Premissas!$C$17:$E$17,0))),0)</f>
        <v/>
      </c>
      <c r="H27" s="11">
        <f>IF(INDEX(Premissas!$C$34:$E$34,MATCH(H$2,Premissas!$C$17:$E$17,0))&gt;0,PMT(INDEX(Premissas!$C$31:$E$31,MATCH(H$2,Premissas!$C$17:$E$17,0))/12,INDEX(Premissas!$C$34:$E$34,MATCH(H$2,Premissas!$C$17:$E$17,0))*12,-H26*INDEX(Premissas!$C$30:$E$30,MATCH(H$2,Premissas!$C$17:$E$17,0))),0)</f>
        <v/>
      </c>
      <c r="I27" s="11">
        <f>IF(INDEX(Premissas!$C$34:$E$34,MATCH(I$2,Premissas!$C$17:$E$17,0))&gt;0,PMT(INDEX(Premissas!$C$31:$E$31,MATCH(I$2,Premissas!$C$17:$E$17,0))/12,INDEX(Premissas!$C$34:$E$34,MATCH(I$2,Premissas!$C$17:$E$17,0))*12,-I26*INDEX(Premissas!$C$30:$E$30,MATCH(I$2,Premissas!$C$17:$E$17,0))),0)</f>
        <v/>
      </c>
      <c r="J27" s="11">
        <f>IF(INDEX(Premissas!$C$34:$E$34,MATCH(J$2,Premissas!$C$17:$E$17,0))&gt;0,PMT(INDEX(Premissas!$C$31:$E$31,MATCH(J$2,Premissas!$C$17:$E$17,0))/12,INDEX(Premissas!$C$34:$E$34,MATCH(J$2,Premissas!$C$17:$E$17,0))*12,-J26*INDEX(Premissas!$C$30:$E$30,MATCH(J$2,Premissas!$C$17:$E$17,0))),0)</f>
        <v/>
      </c>
    </row>
    <row r="28">
      <c r="A28" t="inlineStr">
        <is>
          <t>Parcela CDC/SBA 504</t>
        </is>
      </c>
      <c r="B28" s="11">
        <f>IF(INDEX(Premissas!$C$34:$E$34,MATCH(B$2,Premissas!$C$17:$E$17,0))&gt;0,PMT(INDEX(Premissas!$C$33:$E$33,MATCH(B$2,Premissas!$C$17:$E$17,0))/12,INDEX(Premissas!$C$34:$E$34,MATCH(B$2,Premissas!$C$17:$E$17,0))*12,-B26*INDEX(Premissas!$C$32:$E$32,MATCH(B$2,Premissas!$C$17:$E$17,0))),0)</f>
        <v/>
      </c>
      <c r="C28" s="11">
        <f>IF(INDEX(Premissas!$C$34:$E$34,MATCH(C$2,Premissas!$C$17:$E$17,0))&gt;0,PMT(INDEX(Premissas!$C$33:$E$33,MATCH(C$2,Premissas!$C$17:$E$17,0))/12,INDEX(Premissas!$C$34:$E$34,MATCH(C$2,Premissas!$C$17:$E$17,0))*12,-C26*INDEX(Premissas!$C$32:$E$32,MATCH(C$2,Premissas!$C$17:$E$17,0))),0)</f>
        <v/>
      </c>
      <c r="D28" s="11">
        <f>IF(INDEX(Premissas!$C$34:$E$34,MATCH(D$2,Premissas!$C$17:$E$17,0))&gt;0,PMT(INDEX(Premissas!$C$33:$E$33,MATCH(D$2,Premissas!$C$17:$E$17,0))/12,INDEX(Premissas!$C$34:$E$34,MATCH(D$2,Premissas!$C$17:$E$17,0))*12,-D26*INDEX(Premissas!$C$32:$E$32,MATCH(D$2,Premissas!$C$17:$E$17,0))),0)</f>
        <v/>
      </c>
      <c r="E28" s="11">
        <f>IF(INDEX(Premissas!$C$34:$E$34,MATCH(E$2,Premissas!$C$17:$E$17,0))&gt;0,PMT(INDEX(Premissas!$C$33:$E$33,MATCH(E$2,Premissas!$C$17:$E$17,0))/12,INDEX(Premissas!$C$34:$E$34,MATCH(E$2,Premissas!$C$17:$E$17,0))*12,-E26*INDEX(Premissas!$C$32:$E$32,MATCH(E$2,Premissas!$C$17:$E$17,0))),0)</f>
        <v/>
      </c>
      <c r="F28" s="11">
        <f>IF(INDEX(Premissas!$C$34:$E$34,MATCH(F$2,Premissas!$C$17:$E$17,0))&gt;0,PMT(INDEX(Premissas!$C$33:$E$33,MATCH(F$2,Premissas!$C$17:$E$17,0))/12,INDEX(Premissas!$C$34:$E$34,MATCH(F$2,Premissas!$C$17:$E$17,0))*12,-F26*INDEX(Premissas!$C$32:$E$32,MATCH(F$2,Premissas!$C$17:$E$17,0))),0)</f>
        <v/>
      </c>
      <c r="G28" s="11">
        <f>IF(INDEX(Premissas!$C$34:$E$34,MATCH(G$2,Premissas!$C$17:$E$17,0))&gt;0,PMT(INDEX(Premissas!$C$33:$E$33,MATCH(G$2,Premissas!$C$17:$E$17,0))/12,INDEX(Premissas!$C$34:$E$34,MATCH(G$2,Premissas!$C$17:$E$17,0))*12,-G26*INDEX(Premissas!$C$32:$E$32,MATCH(G$2,Premissas!$C$17:$E$17,0))),0)</f>
        <v/>
      </c>
      <c r="H28" s="11">
        <f>IF(INDEX(Premissas!$C$34:$E$34,MATCH(H$2,Premissas!$C$17:$E$17,0))&gt;0,PMT(INDEX(Premissas!$C$33:$E$33,MATCH(H$2,Premissas!$C$17:$E$17,0))/12,INDEX(Premissas!$C$34:$E$34,MATCH(H$2,Premissas!$C$17:$E$17,0))*12,-H26*INDEX(Premissas!$C$32:$E$32,MATCH(H$2,Premissas!$C$17:$E$17,0))),0)</f>
        <v/>
      </c>
      <c r="I28" s="11">
        <f>IF(INDEX(Premissas!$C$34:$E$34,MATCH(I$2,Premissas!$C$17:$E$17,0))&gt;0,PMT(INDEX(Premissas!$C$33:$E$33,MATCH(I$2,Premissas!$C$17:$E$17,0))/12,INDEX(Premissas!$C$34:$E$34,MATCH(I$2,Premissas!$C$17:$E$17,0))*12,-I26*INDEX(Premissas!$C$32:$E$32,MATCH(I$2,Premissas!$C$17:$E$17,0))),0)</f>
        <v/>
      </c>
      <c r="J28" s="11">
        <f>IF(INDEX(Premissas!$C$34:$E$34,MATCH(J$2,Premissas!$C$17:$E$17,0))&gt;0,PMT(INDEX(Premissas!$C$33:$E$33,MATCH(J$2,Premissas!$C$17:$E$17,0))/12,INDEX(Premissas!$C$34:$E$34,MATCH(J$2,Premissas!$C$17:$E$17,0))*12,-J26*INDEX(Premissas!$C$32:$E$32,MATCH(J$2,Premissas!$C$17:$E$17,0))),0)</f>
        <v/>
      </c>
    </row>
    <row r="29">
      <c r="A29" t="inlineStr">
        <is>
          <t>IPTU + seguro do imóvel</t>
        </is>
      </c>
      <c r="B29" s="11">
        <f>B26*INDEX(Premissas!$C$36:$E$36,MATCH(B$2,Premissas!$C$17:$E$17,0))/12</f>
        <v/>
      </c>
      <c r="C29" s="11">
        <f>C26*INDEX(Premissas!$C$36:$E$36,MATCH(C$2,Premissas!$C$17:$E$17,0))/12</f>
        <v/>
      </c>
      <c r="D29" s="11">
        <f>D26*INDEX(Premissas!$C$36:$E$36,MATCH(D$2,Premissas!$C$17:$E$17,0))/12</f>
        <v/>
      </c>
      <c r="E29" s="11">
        <f>E26*INDEX(Premissas!$C$36:$E$36,MATCH(E$2,Premissas!$C$17:$E$17,0))/12</f>
        <v/>
      </c>
      <c r="F29" s="11">
        <f>F26*INDEX(Premissas!$C$36:$E$36,MATCH(F$2,Premissas!$C$17:$E$17,0))/12</f>
        <v/>
      </c>
      <c r="G29" s="11">
        <f>G26*INDEX(Premissas!$C$36:$E$36,MATCH(G$2,Premissas!$C$17:$E$17,0))/12</f>
        <v/>
      </c>
      <c r="H29" s="11">
        <f>H26*INDEX(Premissas!$C$36:$E$36,MATCH(H$2,Premissas!$C$17:$E$17,0))/12</f>
        <v/>
      </c>
      <c r="I29" s="11">
        <f>I26*INDEX(Premissas!$C$36:$E$36,MATCH(I$2,Premissas!$C$17:$E$17,0))/12</f>
        <v/>
      </c>
      <c r="J29" s="11">
        <f>J26*INDEX(Premissas!$C$36:$E$36,MATCH(J$2,Premissas!$C$17:$E$17,0))/12</f>
        <v/>
      </c>
    </row>
    <row r="30">
      <c r="A30" s="13" t="inlineStr">
        <is>
          <t>CUSTO FIXO TOTAL</t>
        </is>
      </c>
      <c r="B30" s="14">
        <f>SUM(B21,B22,B23,B24,B25,B27,B28,B29)</f>
        <v/>
      </c>
      <c r="C30" s="14">
        <f>SUM(C21,C22,C23,C24,C25,C27,C28,C29)</f>
        <v/>
      </c>
      <c r="D30" s="14">
        <f>SUM(D21,D22,D23,D24,D25,D27,D28,D29)</f>
        <v/>
      </c>
      <c r="E30" s="14">
        <f>SUM(E21,E22,E23,E24,E25,E27,E28,E29)</f>
        <v/>
      </c>
      <c r="F30" s="14">
        <f>SUM(F21,F22,F23,F24,F25,F27,F28,F29)</f>
        <v/>
      </c>
      <c r="G30" s="14">
        <f>SUM(G21,G22,G23,G24,G25,G27,G28,G29)</f>
        <v/>
      </c>
      <c r="H30" s="14">
        <f>SUM(H21,H22,H23,H24,H25,H27,H28,H29)</f>
        <v/>
      </c>
      <c r="I30" s="14">
        <f>SUM(I21,I22,I23,I24,I25,I27,I28,I29)</f>
        <v/>
      </c>
      <c r="J30" s="14">
        <f>SUM(J21,J22,J23,J24,J25,J27,J28,J29)</f>
        <v/>
      </c>
    </row>
    <row r="31">
      <c r="A31" s="9" t="inlineStr">
        <is>
          <t>RESULTADO</t>
        </is>
      </c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</row>
    <row r="32">
      <c r="A32" t="inlineStr">
        <is>
          <t>Resultado operacional de caixa / mês</t>
        </is>
      </c>
      <c r="B32" s="11">
        <f>B18-B30</f>
        <v/>
      </c>
      <c r="C32" s="11">
        <f>C18-C30</f>
        <v/>
      </c>
      <c r="D32" s="11">
        <f>D18-D30</f>
        <v/>
      </c>
      <c r="E32" s="11">
        <f>E18-E30</f>
        <v/>
      </c>
      <c r="F32" s="11">
        <f>F18-F30</f>
        <v/>
      </c>
      <c r="G32" s="11">
        <f>G18-G30</f>
        <v/>
      </c>
      <c r="H32" s="11">
        <f>H18-H30</f>
        <v/>
      </c>
      <c r="I32" s="11">
        <f>I18-I30</f>
        <v/>
      </c>
      <c r="J32" s="11">
        <f>J18-J30</f>
        <v/>
      </c>
    </row>
    <row r="33">
      <c r="A33" t="inlineStr">
        <is>
          <t>Resultado operacional de caixa / ano</t>
        </is>
      </c>
      <c r="B33" s="11">
        <f>B32*12</f>
        <v/>
      </c>
      <c r="C33" s="11">
        <f>C32*12</f>
        <v/>
      </c>
      <c r="D33" s="11">
        <f>D32*12</f>
        <v/>
      </c>
      <c r="E33" s="11">
        <f>E32*12</f>
        <v/>
      </c>
      <c r="F33" s="11">
        <f>F32*12</f>
        <v/>
      </c>
      <c r="G33" s="11">
        <f>G32*12</f>
        <v/>
      </c>
      <c r="H33" s="11">
        <f>H32*12</f>
        <v/>
      </c>
      <c r="I33" s="11">
        <f>I32*12</f>
        <v/>
      </c>
      <c r="J33" s="11">
        <f>J32*12</f>
        <v/>
      </c>
    </row>
    <row r="34">
      <c r="A34" t="inlineStr">
        <is>
          <t>Ponto de equilíbrio (receita/mês)</t>
        </is>
      </c>
      <c r="B34" s="11">
        <f>IF(B19&gt;0,B30/B19,0)</f>
        <v/>
      </c>
      <c r="C34" s="11">
        <f>IF(C19&gt;0,C30/C19,0)</f>
        <v/>
      </c>
      <c r="D34" s="11">
        <f>IF(D19&gt;0,D30/D19,0)</f>
        <v/>
      </c>
      <c r="E34" s="11">
        <f>IF(E19&gt;0,E30/E19,0)</f>
        <v/>
      </c>
      <c r="F34" s="11">
        <f>IF(F19&gt;0,F30/F19,0)</f>
        <v/>
      </c>
      <c r="G34" s="11">
        <f>IF(G19&gt;0,G30/G19,0)</f>
        <v/>
      </c>
      <c r="H34" s="11">
        <f>IF(H19&gt;0,H30/H19,0)</f>
        <v/>
      </c>
      <c r="I34" s="11">
        <f>IF(I19&gt;0,I30/I19,0)</f>
        <v/>
      </c>
      <c r="J34" s="11">
        <f>IF(J19&gt;0,J30/J19,0)</f>
        <v/>
      </c>
    </row>
    <row r="35">
      <c r="A35" t="inlineStr">
        <is>
          <t>Vaults necessários p/ equilíbrio (demais receitas constantes)</t>
        </is>
      </c>
      <c r="B35" s="12">
        <f>MAX(0,(B30-(B18-B7*(INDEX(Premissas!$C$11:$E$11,MATCH(B$3,Premissas!$C$3:$E$3,0))-INDEX(Premissas!$C$12:$E$12,MATCH(B$3,Premissas!$C$3:$E$3,0))-INDEX(Premissas!$C$20:$E$20,MATCH(B$2,Premissas!$C$17:$E$17,0)))))/(INDEX(Premissas!$C$11:$E$11,MATCH(B$3,Premissas!$C$3:$E$3,0))-INDEX(Premissas!$C$12:$E$12,MATCH(B$3,Premissas!$C$3:$E$3,0))-INDEX(Premissas!$C$20:$E$20,MATCH(B$2,Premissas!$C$17:$E$17,0))))</f>
        <v/>
      </c>
      <c r="C35" s="12">
        <f>MAX(0,(C30-(C18-C7*(INDEX(Premissas!$C$11:$E$11,MATCH(C$3,Premissas!$C$3:$E$3,0))-INDEX(Premissas!$C$12:$E$12,MATCH(C$3,Premissas!$C$3:$E$3,0))-INDEX(Premissas!$C$20:$E$20,MATCH(C$2,Premissas!$C$17:$E$17,0)))))/(INDEX(Premissas!$C$11:$E$11,MATCH(C$3,Premissas!$C$3:$E$3,0))-INDEX(Premissas!$C$12:$E$12,MATCH(C$3,Premissas!$C$3:$E$3,0))-INDEX(Premissas!$C$20:$E$20,MATCH(C$2,Premissas!$C$17:$E$17,0))))</f>
        <v/>
      </c>
      <c r="D35" s="12">
        <f>MAX(0,(D30-(D18-D7*(INDEX(Premissas!$C$11:$E$11,MATCH(D$3,Premissas!$C$3:$E$3,0))-INDEX(Premissas!$C$12:$E$12,MATCH(D$3,Premissas!$C$3:$E$3,0))-INDEX(Premissas!$C$20:$E$20,MATCH(D$2,Premissas!$C$17:$E$17,0)))))/(INDEX(Premissas!$C$11:$E$11,MATCH(D$3,Premissas!$C$3:$E$3,0))-INDEX(Premissas!$C$12:$E$12,MATCH(D$3,Premissas!$C$3:$E$3,0))-INDEX(Premissas!$C$20:$E$20,MATCH(D$2,Premissas!$C$17:$E$17,0))))</f>
        <v/>
      </c>
      <c r="E35" s="12">
        <f>MAX(0,(E30-(E18-E7*(INDEX(Premissas!$C$11:$E$11,MATCH(E$3,Premissas!$C$3:$E$3,0))-INDEX(Premissas!$C$12:$E$12,MATCH(E$3,Premissas!$C$3:$E$3,0))-INDEX(Premissas!$C$20:$E$20,MATCH(E$2,Premissas!$C$17:$E$17,0)))))/(INDEX(Premissas!$C$11:$E$11,MATCH(E$3,Premissas!$C$3:$E$3,0))-INDEX(Premissas!$C$12:$E$12,MATCH(E$3,Premissas!$C$3:$E$3,0))-INDEX(Premissas!$C$20:$E$20,MATCH(E$2,Premissas!$C$17:$E$17,0))))</f>
        <v/>
      </c>
      <c r="F35" s="12">
        <f>MAX(0,(F30-(F18-F7*(INDEX(Premissas!$C$11:$E$11,MATCH(F$3,Premissas!$C$3:$E$3,0))-INDEX(Premissas!$C$12:$E$12,MATCH(F$3,Premissas!$C$3:$E$3,0))-INDEX(Premissas!$C$20:$E$20,MATCH(F$2,Premissas!$C$17:$E$17,0)))))/(INDEX(Premissas!$C$11:$E$11,MATCH(F$3,Premissas!$C$3:$E$3,0))-INDEX(Premissas!$C$12:$E$12,MATCH(F$3,Premissas!$C$3:$E$3,0))-INDEX(Premissas!$C$20:$E$20,MATCH(F$2,Premissas!$C$17:$E$17,0))))</f>
        <v/>
      </c>
      <c r="G35" s="12">
        <f>MAX(0,(G30-(G18-G7*(INDEX(Premissas!$C$11:$E$11,MATCH(G$3,Premissas!$C$3:$E$3,0))-INDEX(Premissas!$C$12:$E$12,MATCH(G$3,Premissas!$C$3:$E$3,0))-INDEX(Premissas!$C$20:$E$20,MATCH(G$2,Premissas!$C$17:$E$17,0)))))/(INDEX(Premissas!$C$11:$E$11,MATCH(G$3,Premissas!$C$3:$E$3,0))-INDEX(Premissas!$C$12:$E$12,MATCH(G$3,Premissas!$C$3:$E$3,0))-INDEX(Premissas!$C$20:$E$20,MATCH(G$2,Premissas!$C$17:$E$17,0))))</f>
        <v/>
      </c>
      <c r="H35" s="12">
        <f>MAX(0,(H30-(H18-H7*(INDEX(Premissas!$C$11:$E$11,MATCH(H$3,Premissas!$C$3:$E$3,0))-INDEX(Premissas!$C$12:$E$12,MATCH(H$3,Premissas!$C$3:$E$3,0))-INDEX(Premissas!$C$20:$E$20,MATCH(H$2,Premissas!$C$17:$E$17,0)))))/(INDEX(Premissas!$C$11:$E$11,MATCH(H$3,Premissas!$C$3:$E$3,0))-INDEX(Premissas!$C$12:$E$12,MATCH(H$3,Premissas!$C$3:$E$3,0))-INDEX(Premissas!$C$20:$E$20,MATCH(H$2,Premissas!$C$17:$E$17,0))))</f>
        <v/>
      </c>
      <c r="I35" s="12">
        <f>MAX(0,(I30-(I18-I7*(INDEX(Premissas!$C$11:$E$11,MATCH(I$3,Premissas!$C$3:$E$3,0))-INDEX(Premissas!$C$12:$E$12,MATCH(I$3,Premissas!$C$3:$E$3,0))-INDEX(Premissas!$C$20:$E$20,MATCH(I$2,Premissas!$C$17:$E$17,0)))))/(INDEX(Premissas!$C$11:$E$11,MATCH(I$3,Premissas!$C$3:$E$3,0))-INDEX(Premissas!$C$12:$E$12,MATCH(I$3,Premissas!$C$3:$E$3,0))-INDEX(Premissas!$C$20:$E$20,MATCH(I$2,Premissas!$C$17:$E$17,0))))</f>
        <v/>
      </c>
      <c r="J35" s="12">
        <f>MAX(0,(J30-(J18-J7*(INDEX(Premissas!$C$11:$E$11,MATCH(J$3,Premissas!$C$3:$E$3,0))-INDEX(Premissas!$C$12:$E$12,MATCH(J$3,Premissas!$C$3:$E$3,0))-INDEX(Premissas!$C$20:$E$20,MATCH(J$2,Premissas!$C$17:$E$17,0)))))/(INDEX(Premissas!$C$11:$E$11,MATCH(J$3,Premissas!$C$3:$E$3,0))-INDEX(Premissas!$C$12:$E$12,MATCH(J$3,Premissas!$C$3:$E$3,0))-INDEX(Premissas!$C$20:$E$20,MATCH(J$2,Premissas!$C$17:$E$17,0))))</f>
        <v/>
      </c>
    </row>
    <row r="36">
      <c r="A36" t="inlineStr">
        <is>
          <t>Equilíbrio cabe na capacidade?</t>
        </is>
      </c>
      <c r="B36">
        <f>IF(B35&lt;=INDEX(Premissas!$C$19:$E$19,MATCH(B$2,Premissas!$C$17:$E$17,0)),"SIM","NÃO")</f>
        <v/>
      </c>
      <c r="C36">
        <f>IF(C35&lt;=INDEX(Premissas!$C$19:$E$19,MATCH(C$2,Premissas!$C$17:$E$17,0)),"SIM","NÃO")</f>
        <v/>
      </c>
      <c r="D36">
        <f>IF(D35&lt;=INDEX(Premissas!$C$19:$E$19,MATCH(D$2,Premissas!$C$17:$E$17,0)),"SIM","NÃO")</f>
        <v/>
      </c>
      <c r="E36">
        <f>IF(E35&lt;=INDEX(Premissas!$C$19:$E$19,MATCH(E$2,Premissas!$C$17:$E$17,0)),"SIM","NÃO")</f>
        <v/>
      </c>
      <c r="F36">
        <f>IF(F35&lt;=INDEX(Premissas!$C$19:$E$19,MATCH(F$2,Premissas!$C$17:$E$17,0)),"SIM","NÃO")</f>
        <v/>
      </c>
      <c r="G36">
        <f>IF(G35&lt;=INDEX(Premissas!$C$19:$E$19,MATCH(G$2,Premissas!$C$17:$E$17,0)),"SIM","NÃO")</f>
        <v/>
      </c>
      <c r="H36">
        <f>IF(H35&lt;=INDEX(Premissas!$C$19:$E$19,MATCH(H$2,Premissas!$C$17:$E$17,0)),"SIM","NÃO")</f>
        <v/>
      </c>
      <c r="I36">
        <f>IF(I35&lt;=INDEX(Premissas!$C$19:$E$19,MATCH(I$2,Premissas!$C$17:$E$17,0)),"SIM","NÃO")</f>
        <v/>
      </c>
      <c r="J36">
        <f>IF(J35&lt;=INDEX(Premissas!$C$19:$E$19,MATCH(J$2,Premissas!$C$17:$E$17,0)),"SIM","NÃO")</f>
        <v/>
      </c>
    </row>
    <row r="37">
      <c r="A37" t="inlineStr">
        <is>
          <t>Ocupação do armazém</t>
        </is>
      </c>
      <c r="B37" s="15">
        <f>IF(INDEX(Premissas!$C$19:$E$19,MATCH(B$2,Premissas!$C$17:$E$17,0))&lt;100000,B7/INDEX(Premissas!$C$19:$E$19,MATCH(B$2,Premissas!$C$17:$E$17,0)),0)</f>
        <v/>
      </c>
      <c r="C37" s="15">
        <f>IF(INDEX(Premissas!$C$19:$E$19,MATCH(C$2,Premissas!$C$17:$E$17,0))&lt;100000,C7/INDEX(Premissas!$C$19:$E$19,MATCH(C$2,Premissas!$C$17:$E$17,0)),0)</f>
        <v/>
      </c>
      <c r="D37" s="15">
        <f>IF(INDEX(Premissas!$C$19:$E$19,MATCH(D$2,Premissas!$C$17:$E$17,0))&lt;100000,D7/INDEX(Premissas!$C$19:$E$19,MATCH(D$2,Premissas!$C$17:$E$17,0)),0)</f>
        <v/>
      </c>
      <c r="E37" s="15">
        <f>IF(INDEX(Premissas!$C$19:$E$19,MATCH(E$2,Premissas!$C$17:$E$17,0))&lt;100000,E7/INDEX(Premissas!$C$19:$E$19,MATCH(E$2,Premissas!$C$17:$E$17,0)),0)</f>
        <v/>
      </c>
      <c r="F37" s="15">
        <f>IF(INDEX(Premissas!$C$19:$E$19,MATCH(F$2,Premissas!$C$17:$E$17,0))&lt;100000,F7/INDEX(Premissas!$C$19:$E$19,MATCH(F$2,Premissas!$C$17:$E$17,0)),0)</f>
        <v/>
      </c>
      <c r="G37" s="15">
        <f>IF(INDEX(Premissas!$C$19:$E$19,MATCH(G$2,Premissas!$C$17:$E$17,0))&lt;100000,G7/INDEX(Premissas!$C$19:$E$19,MATCH(G$2,Premissas!$C$17:$E$17,0)),0)</f>
        <v/>
      </c>
      <c r="H37" s="15">
        <f>IF(INDEX(Premissas!$C$19:$E$19,MATCH(H$2,Premissas!$C$17:$E$17,0))&lt;100000,H7/INDEX(Premissas!$C$19:$E$19,MATCH(H$2,Premissas!$C$17:$E$17,0)),0)</f>
        <v/>
      </c>
      <c r="I37" s="15">
        <f>IF(INDEX(Premissas!$C$19:$E$19,MATCH(I$2,Premissas!$C$17:$E$17,0))&lt;100000,I7/INDEX(Premissas!$C$19:$E$19,MATCH(I$2,Premissas!$C$17:$E$17,0)),0)</f>
        <v/>
      </c>
      <c r="J37" s="15">
        <f>IF(INDEX(Premissas!$C$19:$E$19,MATCH(J$2,Premissas!$C$17:$E$17,0))&lt;100000,J7/INDEX(Premissas!$C$19:$E$19,MATCH(J$2,Premissas!$C$17:$E$17,0)),0)</f>
        <v/>
      </c>
    </row>
    <row r="38">
      <c r="A38" s="9" t="inlineStr">
        <is>
          <t>INVESTIMENTO INICIAL E CAPITAL DE GIRO</t>
        </is>
      </c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</row>
    <row r="39">
      <c r="A39" t="inlineStr">
        <is>
          <t>Caução + 1º mês</t>
        </is>
      </c>
      <c r="B39" s="11">
        <f>INDEX(Premissas!$C$37:$E$37,MATCH(B$2,Premissas!$C$17:$E$17,0))*B22</f>
        <v/>
      </c>
      <c r="C39" s="11">
        <f>INDEX(Premissas!$C$37:$E$37,MATCH(C$2,Premissas!$C$17:$E$17,0))*C22</f>
        <v/>
      </c>
      <c r="D39" s="11">
        <f>INDEX(Premissas!$C$37:$E$37,MATCH(D$2,Premissas!$C$17:$E$17,0))*D22</f>
        <v/>
      </c>
      <c r="E39" s="11">
        <f>INDEX(Premissas!$C$37:$E$37,MATCH(E$2,Premissas!$C$17:$E$17,0))*E22</f>
        <v/>
      </c>
      <c r="F39" s="11">
        <f>INDEX(Premissas!$C$37:$E$37,MATCH(F$2,Premissas!$C$17:$E$17,0))*F22</f>
        <v/>
      </c>
      <c r="G39" s="11">
        <f>INDEX(Premissas!$C$37:$E$37,MATCH(G$2,Premissas!$C$17:$E$17,0))*G22</f>
        <v/>
      </c>
      <c r="H39" s="11">
        <f>INDEX(Premissas!$C$37:$E$37,MATCH(H$2,Premissas!$C$17:$E$17,0))*H22</f>
        <v/>
      </c>
      <c r="I39" s="11">
        <f>INDEX(Premissas!$C$37:$E$37,MATCH(I$2,Premissas!$C$17:$E$17,0))*I22</f>
        <v/>
      </c>
      <c r="J39" s="11">
        <f>INDEX(Premissas!$C$37:$E$37,MATCH(J$2,Premissas!$C$17:$E$17,0))*J22</f>
        <v/>
      </c>
    </row>
    <row r="40">
      <c r="A40" t="inlineStr">
        <is>
          <t>Entrada do imóvel</t>
        </is>
      </c>
      <c r="B40" s="11">
        <f>B26*INDEX(Premissas!$C$29:$E$29,MATCH(B$2,Premissas!$C$17:$E$17,0))</f>
        <v/>
      </c>
      <c r="C40" s="11">
        <f>C26*INDEX(Premissas!$C$29:$E$29,MATCH(C$2,Premissas!$C$17:$E$17,0))</f>
        <v/>
      </c>
      <c r="D40" s="11">
        <f>D26*INDEX(Premissas!$C$29:$E$29,MATCH(D$2,Premissas!$C$17:$E$17,0))</f>
        <v/>
      </c>
      <c r="E40" s="11">
        <f>E26*INDEX(Premissas!$C$29:$E$29,MATCH(E$2,Premissas!$C$17:$E$17,0))</f>
        <v/>
      </c>
      <c r="F40" s="11">
        <f>F26*INDEX(Premissas!$C$29:$E$29,MATCH(F$2,Premissas!$C$17:$E$17,0))</f>
        <v/>
      </c>
      <c r="G40" s="11">
        <f>G26*INDEX(Premissas!$C$29:$E$29,MATCH(G$2,Premissas!$C$17:$E$17,0))</f>
        <v/>
      </c>
      <c r="H40" s="11">
        <f>H26*INDEX(Premissas!$C$29:$E$29,MATCH(H$2,Premissas!$C$17:$E$17,0))</f>
        <v/>
      </c>
      <c r="I40" s="11">
        <f>I26*INDEX(Premissas!$C$29:$E$29,MATCH(I$2,Premissas!$C$17:$E$17,0))</f>
        <v/>
      </c>
      <c r="J40" s="11">
        <f>J26*INDEX(Premissas!$C$29:$E$29,MATCH(J$2,Premissas!$C$17:$E$17,0))</f>
        <v/>
      </c>
    </row>
    <row r="41">
      <c r="A41" t="inlineStr">
        <is>
          <t>Custos de fechamento</t>
        </is>
      </c>
      <c r="B41" s="11">
        <f>B26*INDEX(Premissas!$C$35:$E$35,MATCH(B$2,Premissas!$C$17:$E$17,0))</f>
        <v/>
      </c>
      <c r="C41" s="11">
        <f>C26*INDEX(Premissas!$C$35:$E$35,MATCH(C$2,Premissas!$C$17:$E$17,0))</f>
        <v/>
      </c>
      <c r="D41" s="11">
        <f>D26*INDEX(Premissas!$C$35:$E$35,MATCH(D$2,Premissas!$C$17:$E$17,0))</f>
        <v/>
      </c>
      <c r="E41" s="11">
        <f>E26*INDEX(Premissas!$C$35:$E$35,MATCH(E$2,Premissas!$C$17:$E$17,0))</f>
        <v/>
      </c>
      <c r="F41" s="11">
        <f>F26*INDEX(Premissas!$C$35:$E$35,MATCH(F$2,Premissas!$C$17:$E$17,0))</f>
        <v/>
      </c>
      <c r="G41" s="11">
        <f>G26*INDEX(Premissas!$C$35:$E$35,MATCH(G$2,Premissas!$C$17:$E$17,0))</f>
        <v/>
      </c>
      <c r="H41" s="11">
        <f>H26*INDEX(Premissas!$C$35:$E$35,MATCH(H$2,Premissas!$C$17:$E$17,0))</f>
        <v/>
      </c>
      <c r="I41" s="11">
        <f>I26*INDEX(Premissas!$C$35:$E$35,MATCH(I$2,Premissas!$C$17:$E$17,0))</f>
        <v/>
      </c>
      <c r="J41" s="11">
        <f>J26*INDEX(Premissas!$C$35:$E$35,MATCH(J$2,Premissas!$C$17:$E$17,0))</f>
        <v/>
      </c>
    </row>
    <row r="42">
      <c r="A42" t="inlineStr">
        <is>
          <t>Empilhadeira</t>
        </is>
      </c>
      <c r="B42" s="11">
        <f>INDEX(Premissas!$C$38:$E$38,MATCH(B$2,Premissas!$C$17:$E$17,0))</f>
        <v/>
      </c>
      <c r="C42" s="11">
        <f>INDEX(Premissas!$C$38:$E$38,MATCH(C$2,Premissas!$C$17:$E$17,0))</f>
        <v/>
      </c>
      <c r="D42" s="11">
        <f>INDEX(Premissas!$C$38:$E$38,MATCH(D$2,Premissas!$C$17:$E$17,0))</f>
        <v/>
      </c>
      <c r="E42" s="11">
        <f>INDEX(Premissas!$C$38:$E$38,MATCH(E$2,Premissas!$C$17:$E$17,0))</f>
        <v/>
      </c>
      <c r="F42" s="11">
        <f>INDEX(Premissas!$C$38:$E$38,MATCH(F$2,Premissas!$C$17:$E$17,0))</f>
        <v/>
      </c>
      <c r="G42" s="11">
        <f>INDEX(Premissas!$C$38:$E$38,MATCH(G$2,Premissas!$C$17:$E$17,0))</f>
        <v/>
      </c>
      <c r="H42" s="11">
        <f>INDEX(Premissas!$C$38:$E$38,MATCH(H$2,Premissas!$C$17:$E$17,0))</f>
        <v/>
      </c>
      <c r="I42" s="11">
        <f>INDEX(Premissas!$C$38:$E$38,MATCH(I$2,Premissas!$C$17:$E$17,0))</f>
        <v/>
      </c>
      <c r="J42" s="11">
        <f>INDEX(Premissas!$C$38:$E$38,MATCH(J$2,Premissas!$C$17:$E$17,0))</f>
        <v/>
      </c>
    </row>
    <row r="43">
      <c r="A43" t="inlineStr">
        <is>
          <t>Vaults</t>
        </is>
      </c>
      <c r="B43" s="11">
        <f>INDEX(Premissas!$C$39:$E$39,MATCH(B$2,Premissas!$C$17:$E$17,0))*INDEX(Premissas!$C$40:$E$40,MATCH(B$2,Premissas!$C$17:$E$17,0))</f>
        <v/>
      </c>
      <c r="C43" s="11">
        <f>INDEX(Premissas!$C$39:$E$39,MATCH(C$2,Premissas!$C$17:$E$17,0))*INDEX(Premissas!$C$40:$E$40,MATCH(C$2,Premissas!$C$17:$E$17,0))</f>
        <v/>
      </c>
      <c r="D43" s="11">
        <f>INDEX(Premissas!$C$39:$E$39,MATCH(D$2,Premissas!$C$17:$E$17,0))*INDEX(Premissas!$C$40:$E$40,MATCH(D$2,Premissas!$C$17:$E$17,0))</f>
        <v/>
      </c>
      <c r="E43" s="11">
        <f>INDEX(Premissas!$C$39:$E$39,MATCH(E$2,Premissas!$C$17:$E$17,0))*INDEX(Premissas!$C$40:$E$40,MATCH(E$2,Premissas!$C$17:$E$17,0))</f>
        <v/>
      </c>
      <c r="F43" s="11">
        <f>INDEX(Premissas!$C$39:$E$39,MATCH(F$2,Premissas!$C$17:$E$17,0))*INDEX(Premissas!$C$40:$E$40,MATCH(F$2,Premissas!$C$17:$E$17,0))</f>
        <v/>
      </c>
      <c r="G43" s="11">
        <f>INDEX(Premissas!$C$39:$E$39,MATCH(G$2,Premissas!$C$17:$E$17,0))*INDEX(Premissas!$C$40:$E$40,MATCH(G$2,Premissas!$C$17:$E$17,0))</f>
        <v/>
      </c>
      <c r="H43" s="11">
        <f>INDEX(Premissas!$C$39:$E$39,MATCH(H$2,Premissas!$C$17:$E$17,0))*INDEX(Premissas!$C$40:$E$40,MATCH(H$2,Premissas!$C$17:$E$17,0))</f>
        <v/>
      </c>
      <c r="I43" s="11">
        <f>INDEX(Premissas!$C$39:$E$39,MATCH(I$2,Premissas!$C$17:$E$17,0))*INDEX(Premissas!$C$40:$E$40,MATCH(I$2,Premissas!$C$17:$E$17,0))</f>
        <v/>
      </c>
      <c r="J43" s="11">
        <f>INDEX(Premissas!$C$39:$E$39,MATCH(J$2,Premissas!$C$17:$E$17,0))*INDEX(Premissas!$C$40:$E$40,MATCH(J$2,Premissas!$C$17:$E$17,0))</f>
        <v/>
      </c>
    </row>
    <row r="44">
      <c r="A44" t="inlineStr">
        <is>
          <t>Adequação / licenças / segurança</t>
        </is>
      </c>
      <c r="B44" s="11">
        <f>INDEX(Premissas!$C$41:$E$41,MATCH(B$2,Premissas!$C$17:$E$17,0))</f>
        <v/>
      </c>
      <c r="C44" s="11">
        <f>INDEX(Premissas!$C$41:$E$41,MATCH(C$2,Premissas!$C$17:$E$17,0))</f>
        <v/>
      </c>
      <c r="D44" s="11">
        <f>INDEX(Premissas!$C$41:$E$41,MATCH(D$2,Premissas!$C$17:$E$17,0))</f>
        <v/>
      </c>
      <c r="E44" s="11">
        <f>INDEX(Premissas!$C$41:$E$41,MATCH(E$2,Premissas!$C$17:$E$17,0))</f>
        <v/>
      </c>
      <c r="F44" s="11">
        <f>INDEX(Premissas!$C$41:$E$41,MATCH(F$2,Premissas!$C$17:$E$17,0))</f>
        <v/>
      </c>
      <c r="G44" s="11">
        <f>INDEX(Premissas!$C$41:$E$41,MATCH(G$2,Premissas!$C$17:$E$17,0))</f>
        <v/>
      </c>
      <c r="H44" s="11">
        <f>INDEX(Premissas!$C$41:$E$41,MATCH(H$2,Premissas!$C$17:$E$17,0))</f>
        <v/>
      </c>
      <c r="I44" s="11">
        <f>INDEX(Premissas!$C$41:$E$41,MATCH(I$2,Premissas!$C$17:$E$17,0))</f>
        <v/>
      </c>
      <c r="J44" s="11">
        <f>INDEX(Premissas!$C$41:$E$41,MATCH(J$2,Premissas!$C$17:$E$17,0))</f>
        <v/>
      </c>
    </row>
    <row r="45">
      <c r="A45" t="inlineStr">
        <is>
          <t>Software e equipamentos</t>
        </is>
      </c>
      <c r="B45" s="11">
        <f>INDEX(Premissas!$C$42:$E$42,MATCH(B$2,Premissas!$C$17:$E$17,0))</f>
        <v/>
      </c>
      <c r="C45" s="11">
        <f>INDEX(Premissas!$C$42:$E$42,MATCH(C$2,Premissas!$C$17:$E$17,0))</f>
        <v/>
      </c>
      <c r="D45" s="11">
        <f>INDEX(Premissas!$C$42:$E$42,MATCH(D$2,Premissas!$C$17:$E$17,0))</f>
        <v/>
      </c>
      <c r="E45" s="11">
        <f>INDEX(Premissas!$C$42:$E$42,MATCH(E$2,Premissas!$C$17:$E$17,0))</f>
        <v/>
      </c>
      <c r="F45" s="11">
        <f>INDEX(Premissas!$C$42:$E$42,MATCH(F$2,Premissas!$C$17:$E$17,0))</f>
        <v/>
      </c>
      <c r="G45" s="11">
        <f>INDEX(Premissas!$C$42:$E$42,MATCH(G$2,Premissas!$C$17:$E$17,0))</f>
        <v/>
      </c>
      <c r="H45" s="11">
        <f>INDEX(Premissas!$C$42:$E$42,MATCH(H$2,Premissas!$C$17:$E$17,0))</f>
        <v/>
      </c>
      <c r="I45" s="11">
        <f>INDEX(Premissas!$C$42:$E$42,MATCH(I$2,Premissas!$C$17:$E$17,0))</f>
        <v/>
      </c>
      <c r="J45" s="11">
        <f>INDEX(Premissas!$C$42:$E$42,MATCH(J$2,Premissas!$C$17:$E$17,0))</f>
        <v/>
      </c>
    </row>
    <row r="46">
      <c r="A46" s="13" t="inlineStr">
        <is>
          <t>INVESTIMENTO INICIAL TOTAL</t>
        </is>
      </c>
      <c r="B46" s="14">
        <f>SUM(B39,B40,B41,B42,B43,B44,B45)</f>
        <v/>
      </c>
      <c r="C46" s="14">
        <f>SUM(C39,C40,C41,C42,C43,C44,C45)</f>
        <v/>
      </c>
      <c r="D46" s="14">
        <f>SUM(D39,D40,D41,D42,D43,D44,D45)</f>
        <v/>
      </c>
      <c r="E46" s="14">
        <f>SUM(E39,E40,E41,E42,E43,E44,E45)</f>
        <v/>
      </c>
      <c r="F46" s="14">
        <f>SUM(F39,F40,F41,F42,F43,F44,F45)</f>
        <v/>
      </c>
      <c r="G46" s="14">
        <f>SUM(G39,G40,G41,G42,G43,G44,G45)</f>
        <v/>
      </c>
      <c r="H46" s="14">
        <f>SUM(H39,H40,H41,H42,H43,H44,H45)</f>
        <v/>
      </c>
      <c r="I46" s="14">
        <f>SUM(I39,I40,I41,I42,I43,I44,I45)</f>
        <v/>
      </c>
      <c r="J46" s="14">
        <f>SUM(J39,J40,J41,J42,J43,J44,J45)</f>
        <v/>
      </c>
    </row>
    <row r="47">
      <c r="A47" t="inlineStr">
        <is>
          <t>Capital de giro (recebíveis pack-out + reserva)</t>
        </is>
      </c>
      <c r="B47" s="11">
        <f>B6*INDEX(Premissas!$C$13:$E$13,MATCH(B$3,Premissas!$C$3:$E$3,0))/30+INDEX(Premissas!$C$14:$E$14,MATCH(B$3,Premissas!$C$3:$E$3,0))*B30</f>
        <v/>
      </c>
      <c r="C47" s="11">
        <f>C6*INDEX(Premissas!$C$13:$E$13,MATCH(C$3,Premissas!$C$3:$E$3,0))/30+INDEX(Premissas!$C$14:$E$14,MATCH(C$3,Premissas!$C$3:$E$3,0))*C30</f>
        <v/>
      </c>
      <c r="D47" s="11">
        <f>D6*INDEX(Premissas!$C$13:$E$13,MATCH(D$3,Premissas!$C$3:$E$3,0))/30+INDEX(Premissas!$C$14:$E$14,MATCH(D$3,Premissas!$C$3:$E$3,0))*D30</f>
        <v/>
      </c>
      <c r="E47" s="11">
        <f>E6*INDEX(Premissas!$C$13:$E$13,MATCH(E$3,Premissas!$C$3:$E$3,0))/30+INDEX(Premissas!$C$14:$E$14,MATCH(E$3,Premissas!$C$3:$E$3,0))*E30</f>
        <v/>
      </c>
      <c r="F47" s="11">
        <f>F6*INDEX(Premissas!$C$13:$E$13,MATCH(F$3,Premissas!$C$3:$E$3,0))/30+INDEX(Premissas!$C$14:$E$14,MATCH(F$3,Premissas!$C$3:$E$3,0))*F30</f>
        <v/>
      </c>
      <c r="G47" s="11">
        <f>G6*INDEX(Premissas!$C$13:$E$13,MATCH(G$3,Premissas!$C$3:$E$3,0))/30+INDEX(Premissas!$C$14:$E$14,MATCH(G$3,Premissas!$C$3:$E$3,0))*G30</f>
        <v/>
      </c>
      <c r="H47" s="11">
        <f>H6*INDEX(Premissas!$C$13:$E$13,MATCH(H$3,Premissas!$C$3:$E$3,0))/30+INDEX(Premissas!$C$14:$E$14,MATCH(H$3,Premissas!$C$3:$E$3,0))*H30</f>
        <v/>
      </c>
      <c r="I47" s="11">
        <f>I6*INDEX(Premissas!$C$13:$E$13,MATCH(I$3,Premissas!$C$3:$E$3,0))/30+INDEX(Premissas!$C$14:$E$14,MATCH(I$3,Premissas!$C$3:$E$3,0))*I30</f>
        <v/>
      </c>
      <c r="J47" s="11">
        <f>J6*INDEX(Premissas!$C$13:$E$13,MATCH(J$3,Premissas!$C$3:$E$3,0))/30+INDEX(Premissas!$C$14:$E$14,MATCH(J$3,Premissas!$C$3:$E$3,0))*J30</f>
        <v/>
      </c>
    </row>
    <row r="48">
      <c r="A48" s="13" t="inlineStr">
        <is>
          <t>NECESSIDADE TOTAL DE CAIXA</t>
        </is>
      </c>
      <c r="B48" s="14">
        <f>B46+B47</f>
        <v/>
      </c>
      <c r="C48" s="14">
        <f>C46+C47</f>
        <v/>
      </c>
      <c r="D48" s="14">
        <f>D46+D47</f>
        <v/>
      </c>
      <c r="E48" s="14">
        <f>E46+E47</f>
        <v/>
      </c>
      <c r="F48" s="14">
        <f>F46+F47</f>
        <v/>
      </c>
      <c r="G48" s="14">
        <f>G46+G47</f>
        <v/>
      </c>
      <c r="H48" s="14">
        <f>H46+H47</f>
        <v/>
      </c>
      <c r="I48" s="14">
        <f>I46+I47</f>
        <v/>
      </c>
      <c r="J48" s="14">
        <f>J46+J47</f>
        <v/>
      </c>
    </row>
    <row r="49">
      <c r="A49" t="inlineStr">
        <is>
          <t>Payback do investimento (meses)</t>
        </is>
      </c>
      <c r="B49" s="16">
        <f>IF(B32&gt;0,B46/B32,"não recupera")</f>
        <v/>
      </c>
      <c r="C49" s="16">
        <f>IF(C32&gt;0,C46/C32,"não recupera")</f>
        <v/>
      </c>
      <c r="D49" s="16">
        <f>IF(D32&gt;0,D46/D32,"não recupera")</f>
        <v/>
      </c>
      <c r="E49" s="16">
        <f>IF(E32&gt;0,E46/E32,"não recupera")</f>
        <v/>
      </c>
      <c r="F49" s="16">
        <f>IF(F32&gt;0,F46/F32,"não recupera")</f>
        <v/>
      </c>
      <c r="G49" s="16">
        <f>IF(G32&gt;0,G46/G32,"não recupera")</f>
        <v/>
      </c>
      <c r="H49" s="16">
        <f>IF(H32&gt;0,H46/H32,"não recupera")</f>
        <v/>
      </c>
      <c r="I49" s="16">
        <f>IF(I32&gt;0,I46/I32,"não recupera")</f>
        <v/>
      </c>
      <c r="J49" s="16">
        <f>IF(J32&gt;0,J46/J32,"não recupera")</f>
        <v/>
      </c>
    </row>
  </sheetData>
  <conditionalFormatting sqref="B32:J32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16" customWidth="1" min="3" max="3"/>
    <col width="26" customWidth="1" min="4" max="4"/>
    <col width="16" customWidth="1" min="5" max="5"/>
  </cols>
  <sheetData>
    <row r="1">
      <c r="A1" s="2" t="inlineStr">
        <is>
          <t>Quando vale a pena ter armazém próprio? (vaults ocupados estáveis em que B ou C empatam com A)</t>
        </is>
      </c>
    </row>
    <row r="2">
      <c r="A2" t="inlineStr">
        <is>
          <t>Lógica: armazém próprio troca custo variável por vault (terceirizado) por custo fixo. Indiferença = (Fixo extra da estrutura − receita de sublocação) ÷ custo terceirizado por vault.</t>
        </is>
      </c>
    </row>
    <row r="4">
      <c r="A4" s="3" t="inlineStr">
        <is>
          <t>Custo terceirizado por vault/mês (A)</t>
        </is>
      </c>
      <c r="B4" s="3" t="inlineStr">
        <is>
          <t>Vaults p/ B empatar com A</t>
        </is>
      </c>
      <c r="C4" s="3" t="inlineStr">
        <is>
          <t>Capacidade B</t>
        </is>
      </c>
      <c r="D4" s="3" t="inlineStr">
        <is>
          <t>Vaults p/ C empatar com A</t>
        </is>
      </c>
      <c r="E4" s="3" t="inlineStr">
        <is>
          <t>Capacidade C</t>
        </is>
      </c>
    </row>
    <row r="5">
      <c r="A5" s="5" t="n">
        <v>40</v>
      </c>
      <c r="B5" s="12">
        <f>ROUNDUP((Premissas!$D$18*(Premissas!$D$21+Premissas!$D$22)/12+Premissas!$D$23+Premissas!$D$24+Premissas!$D$26+IF(Premissas!$D$34&gt;0,PMT(Premissas!$D$31/12,Premissas!$D$34*12,-(Premissas!$D$18*Premissas!$D$28)*Premissas!$D$30)+PMT(Premissas!$D$33/12,Premissas!$D$34*12,-(Premissas!$D$18*Premissas!$D$28)*Premissas!$D$32),0)+(Premissas!$D$18*Premissas!$D$28)*Premissas!$D$36/12-Premissas!$D$27)/A5,0)</f>
        <v/>
      </c>
      <c r="C5" s="12">
        <f>Premissas!$D$19</f>
        <v/>
      </c>
      <c r="D5" s="12">
        <f>ROUNDUP((Premissas!$E$18*(Premissas!$E$21+Premissas!$E$22)/12+Premissas!$E$23+Premissas!$E$24+Premissas!$E$26+IF(Premissas!$E$34&gt;0,PMT(Premissas!$E$31/12,Premissas!$E$34*12,-(Premissas!$E$18*Premissas!$E$28)*Premissas!$E$30)+PMT(Premissas!$E$33/12,Premissas!$E$34*12,-(Premissas!$E$18*Premissas!$E$28)*Premissas!$E$32),0)+(Premissas!$E$18*Premissas!$E$28)*Premissas!$E$36/12-Premissas!$E$27)/A5,0)</f>
        <v/>
      </c>
      <c r="E5" s="12">
        <f>Premissas!$E$19</f>
        <v/>
      </c>
    </row>
    <row r="6">
      <c r="A6" s="5" t="n">
        <v>50</v>
      </c>
      <c r="B6" s="12">
        <f>ROUNDUP((Premissas!$D$18*(Premissas!$D$21+Premissas!$D$22)/12+Premissas!$D$23+Premissas!$D$24+Premissas!$D$26+IF(Premissas!$D$34&gt;0,PMT(Premissas!$D$31/12,Premissas!$D$34*12,-(Premissas!$D$18*Premissas!$D$28)*Premissas!$D$30)+PMT(Premissas!$D$33/12,Premissas!$D$34*12,-(Premissas!$D$18*Premissas!$D$28)*Premissas!$D$32),0)+(Premissas!$D$18*Premissas!$D$28)*Premissas!$D$36/12-Premissas!$D$27)/A6,0)</f>
        <v/>
      </c>
      <c r="C6" s="12">
        <f>Premissas!$D$19</f>
        <v/>
      </c>
      <c r="D6" s="12">
        <f>ROUNDUP((Premissas!$E$18*(Premissas!$E$21+Premissas!$E$22)/12+Premissas!$E$23+Premissas!$E$24+Premissas!$E$26+IF(Premissas!$E$34&gt;0,PMT(Premissas!$E$31/12,Premissas!$E$34*12,-(Premissas!$E$18*Premissas!$E$28)*Premissas!$E$30)+PMT(Premissas!$E$33/12,Premissas!$E$34*12,-(Premissas!$E$18*Premissas!$E$28)*Premissas!$E$32),0)+(Premissas!$E$18*Premissas!$E$28)*Premissas!$E$36/12-Premissas!$E$27)/A6,0)</f>
        <v/>
      </c>
      <c r="E6" s="12">
        <f>Premissas!$E$19</f>
        <v/>
      </c>
    </row>
    <row r="7">
      <c r="A7" s="5" t="n">
        <v>60</v>
      </c>
      <c r="B7" s="12">
        <f>ROUNDUP((Premissas!$D$18*(Premissas!$D$21+Premissas!$D$22)/12+Premissas!$D$23+Premissas!$D$24+Premissas!$D$26+IF(Premissas!$D$34&gt;0,PMT(Premissas!$D$31/12,Premissas!$D$34*12,-(Premissas!$D$18*Premissas!$D$28)*Premissas!$D$30)+PMT(Premissas!$D$33/12,Premissas!$D$34*12,-(Premissas!$D$18*Premissas!$D$28)*Premissas!$D$32),0)+(Premissas!$D$18*Premissas!$D$28)*Premissas!$D$36/12-Premissas!$D$27)/A7,0)</f>
        <v/>
      </c>
      <c r="C7" s="12">
        <f>Premissas!$D$19</f>
        <v/>
      </c>
      <c r="D7" s="12">
        <f>ROUNDUP((Premissas!$E$18*(Premissas!$E$21+Premissas!$E$22)/12+Premissas!$E$23+Premissas!$E$24+Premissas!$E$26+IF(Premissas!$E$34&gt;0,PMT(Premissas!$E$31/12,Premissas!$E$34*12,-(Premissas!$E$18*Premissas!$E$28)*Premissas!$E$30)+PMT(Premissas!$E$33/12,Premissas!$E$34*12,-(Premissas!$E$18*Premissas!$E$28)*Premissas!$E$32),0)+(Premissas!$E$18*Premissas!$E$28)*Premissas!$E$36/12-Premissas!$E$27)/A7,0)</f>
        <v/>
      </c>
      <c r="E7" s="12">
        <f>Premissas!$E$19</f>
        <v/>
      </c>
    </row>
    <row r="8">
      <c r="A8" s="5" t="n">
        <v>70</v>
      </c>
      <c r="B8" s="12">
        <f>ROUNDUP((Premissas!$D$18*(Premissas!$D$21+Premissas!$D$22)/12+Premissas!$D$23+Premissas!$D$24+Premissas!$D$26+IF(Premissas!$D$34&gt;0,PMT(Premissas!$D$31/12,Premissas!$D$34*12,-(Premissas!$D$18*Premissas!$D$28)*Premissas!$D$30)+PMT(Premissas!$D$33/12,Premissas!$D$34*12,-(Premissas!$D$18*Premissas!$D$28)*Premissas!$D$32),0)+(Premissas!$D$18*Premissas!$D$28)*Premissas!$D$36/12-Premissas!$D$27)/A8,0)</f>
        <v/>
      </c>
      <c r="C8" s="12">
        <f>Premissas!$D$19</f>
        <v/>
      </c>
      <c r="D8" s="12">
        <f>ROUNDUP((Premissas!$E$18*(Premissas!$E$21+Premissas!$E$22)/12+Premissas!$E$23+Premissas!$E$24+Premissas!$E$26+IF(Premissas!$E$34&gt;0,PMT(Premissas!$E$31/12,Premissas!$E$34*12,-(Premissas!$E$18*Premissas!$E$28)*Premissas!$E$30)+PMT(Premissas!$E$33/12,Premissas!$E$34*12,-(Premissas!$E$18*Premissas!$E$28)*Premissas!$E$32),0)+(Premissas!$E$18*Premissas!$E$28)*Premissas!$E$36/12-Premissas!$E$27)/A8,0)</f>
        <v/>
      </c>
      <c r="E8" s="12">
        <f>Premissas!$E$19</f>
        <v/>
      </c>
    </row>
    <row r="9">
      <c r="A9" s="5" t="n">
        <v>80</v>
      </c>
      <c r="B9" s="12">
        <f>ROUNDUP((Premissas!$D$18*(Premissas!$D$21+Premissas!$D$22)/12+Premissas!$D$23+Premissas!$D$24+Premissas!$D$26+IF(Premissas!$D$34&gt;0,PMT(Premissas!$D$31/12,Premissas!$D$34*12,-(Premissas!$D$18*Premissas!$D$28)*Premissas!$D$30)+PMT(Premissas!$D$33/12,Premissas!$D$34*12,-(Premissas!$D$18*Premissas!$D$28)*Premissas!$D$32),0)+(Premissas!$D$18*Premissas!$D$28)*Premissas!$D$36/12-Premissas!$D$27)/A9,0)</f>
        <v/>
      </c>
      <c r="C9" s="12">
        <f>Premissas!$D$19</f>
        <v/>
      </c>
      <c r="D9" s="12">
        <f>ROUNDUP((Premissas!$E$18*(Premissas!$E$21+Premissas!$E$22)/12+Premissas!$E$23+Premissas!$E$24+Premissas!$E$26+IF(Premissas!$E$34&gt;0,PMT(Premissas!$E$31/12,Premissas!$E$34*12,-(Premissas!$E$18*Premissas!$E$28)*Premissas!$E$30)+PMT(Premissas!$E$33/12,Premissas!$E$34*12,-(Premissas!$E$18*Premissas!$E$28)*Premissas!$E$32),0)+(Premissas!$E$18*Premissas!$E$28)*Premissas!$E$36/12-Premissas!$E$27)/A9,0)</f>
        <v/>
      </c>
      <c r="E9" s="12">
        <f>Premissas!$E$19</f>
        <v/>
      </c>
    </row>
    <row r="10">
      <c r="A10" s="5" t="n">
        <v>90</v>
      </c>
      <c r="B10" s="12">
        <f>ROUNDUP((Premissas!$D$18*(Premissas!$D$21+Premissas!$D$22)/12+Premissas!$D$23+Premissas!$D$24+Premissas!$D$26+IF(Premissas!$D$34&gt;0,PMT(Premissas!$D$31/12,Premissas!$D$34*12,-(Premissas!$D$18*Premissas!$D$28)*Premissas!$D$30)+PMT(Premissas!$D$33/12,Premissas!$D$34*12,-(Premissas!$D$18*Premissas!$D$28)*Premissas!$D$32),0)+(Premissas!$D$18*Premissas!$D$28)*Premissas!$D$36/12-Premissas!$D$27)/A10,0)</f>
        <v/>
      </c>
      <c r="C10" s="12">
        <f>Premissas!$D$19</f>
        <v/>
      </c>
      <c r="D10" s="12">
        <f>ROUNDUP((Premissas!$E$18*(Premissas!$E$21+Premissas!$E$22)/12+Premissas!$E$23+Premissas!$E$24+Premissas!$E$26+IF(Premissas!$E$34&gt;0,PMT(Premissas!$E$31/12,Premissas!$E$34*12,-(Premissas!$E$18*Premissas!$E$28)*Premissas!$E$30)+PMT(Premissas!$E$33/12,Premissas!$E$34*12,-(Premissas!$E$18*Premissas!$E$28)*Premissas!$E$32),0)+(Premissas!$E$18*Premissas!$E$28)*Premissas!$E$36/12-Premissas!$E$27)/A10,0)</f>
        <v/>
      </c>
      <c r="E10" s="12">
        <f>Premissas!$E$19</f>
        <v/>
      </c>
    </row>
    <row r="11">
      <c r="A11" s="5" t="n">
        <v>100</v>
      </c>
      <c r="B11" s="12">
        <f>ROUNDUP((Premissas!$D$18*(Premissas!$D$21+Premissas!$D$22)/12+Premissas!$D$23+Premissas!$D$24+Premissas!$D$26+IF(Premissas!$D$34&gt;0,PMT(Premissas!$D$31/12,Premissas!$D$34*12,-(Premissas!$D$18*Premissas!$D$28)*Premissas!$D$30)+PMT(Premissas!$D$33/12,Premissas!$D$34*12,-(Premissas!$D$18*Premissas!$D$28)*Premissas!$D$32),0)+(Premissas!$D$18*Premissas!$D$28)*Premissas!$D$36/12-Premissas!$D$27)/A11,0)</f>
        <v/>
      </c>
      <c r="C11" s="12">
        <f>Premissas!$D$19</f>
        <v/>
      </c>
      <c r="D11" s="12">
        <f>ROUNDUP((Premissas!$E$18*(Premissas!$E$21+Premissas!$E$22)/12+Premissas!$E$23+Premissas!$E$24+Premissas!$E$26+IF(Premissas!$E$34&gt;0,PMT(Premissas!$E$31/12,Premissas!$E$34*12,-(Premissas!$E$18*Premissas!$E$28)*Premissas!$E$30)+PMT(Premissas!$E$33/12,Premissas!$E$34*12,-(Premissas!$E$18*Premissas!$E$28)*Premissas!$E$32),0)+(Premissas!$E$18*Premissas!$E$28)*Premissas!$E$36/12-Premissas!$E$27)/A11,0)</f>
        <v/>
      </c>
      <c r="E11" s="12">
        <f>Premissas!$E$19</f>
        <v/>
      </c>
    </row>
    <row r="12">
      <c r="A12" s="5" t="n">
        <v>120</v>
      </c>
      <c r="B12" s="12">
        <f>ROUNDUP((Premissas!$D$18*(Premissas!$D$21+Premissas!$D$22)/12+Premissas!$D$23+Premissas!$D$24+Premissas!$D$26+IF(Premissas!$D$34&gt;0,PMT(Premissas!$D$31/12,Premissas!$D$34*12,-(Premissas!$D$18*Premissas!$D$28)*Premissas!$D$30)+PMT(Premissas!$D$33/12,Premissas!$D$34*12,-(Premissas!$D$18*Premissas!$D$28)*Premissas!$D$32),0)+(Premissas!$D$18*Premissas!$D$28)*Premissas!$D$36/12-Premissas!$D$27)/A12,0)</f>
        <v/>
      </c>
      <c r="C12" s="12">
        <f>Premissas!$D$19</f>
        <v/>
      </c>
      <c r="D12" s="12">
        <f>ROUNDUP((Premissas!$E$18*(Premissas!$E$21+Premissas!$E$22)/12+Premissas!$E$23+Premissas!$E$24+Premissas!$E$26+IF(Premissas!$E$34&gt;0,PMT(Premissas!$E$31/12,Premissas!$E$34*12,-(Premissas!$E$18*Premissas!$E$28)*Premissas!$E$30)+PMT(Premissas!$E$33/12,Premissas!$E$34*12,-(Premissas!$E$18*Premissas!$E$28)*Premissas!$E$32),0)+(Premissas!$E$18*Premissas!$E$28)*Premissas!$E$36/12-Premissas!$E$27)/A12,0)</f>
        <v/>
      </c>
      <c r="E12" s="12">
        <f>Premissas!$E$19</f>
        <v/>
      </c>
    </row>
    <row r="14">
      <c r="A14" s="17" t="inlineStr">
        <is>
          <t>Leitura: se o número de vaults para empatar for maior que a capacidade, a estrutura só se paga por outros motivos (contratos que exigem instalação própria, capacidade de pack-out, patrimônio).</t>
        </is>
      </c>
    </row>
    <row r="15"/>
    <row r="16"/>
  </sheetData>
  <mergeCells count="1">
    <mergeCell ref="A14:E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0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38" customWidth="1" min="3" max="3"/>
    <col width="24" customWidth="1" min="4" max="4"/>
    <col width="22" customWidth="1" min="5" max="5"/>
    <col width="45" customWidth="1" min="6" max="6"/>
    <col width="10" customWidth="1" min="7" max="7"/>
    <col width="22" customWidth="1" min="8" max="8"/>
    <col width="12" customWidth="1" min="9" max="9"/>
    <col width="13" customWidth="1" min="10" max="10"/>
    <col width="45" customWidth="1" min="11" max="11"/>
    <col width="13" customWidth="1" min="12" max="12"/>
    <col width="14" customWidth="1" min="13" max="13"/>
    <col width="12" customWidth="1" min="14" max="14"/>
    <col width="14" customWidth="1" min="15" max="15"/>
    <col width="60" customWidth="1" min="16" max="16"/>
  </cols>
  <sheetData>
    <row r="1">
      <c r="A1" s="3" t="inlineStr">
        <is>
          <t>ID</t>
        </is>
      </c>
      <c r="B1" s="3" t="inlineStr">
        <is>
          <t>Pipeline</t>
        </is>
      </c>
      <c r="C1" s="3" t="inlineStr">
        <is>
          <t>Empresa</t>
        </is>
      </c>
      <c r="D1" s="3" t="inlineStr">
        <is>
          <t>Contato (nome/cargo)</t>
        </is>
      </c>
      <c r="E1" s="3" t="inlineStr">
        <is>
          <t>Telefone/canal público</t>
        </is>
      </c>
      <c r="F1" s="3" t="inlineStr">
        <is>
          <t>Fonte verificada</t>
        </is>
      </c>
      <c r="G1" s="3" t="inlineStr">
        <is>
          <t>Prioridade</t>
        </is>
      </c>
      <c r="H1" s="3" t="inlineStr">
        <is>
          <t>Etapa</t>
        </is>
      </c>
      <c r="I1" s="3" t="inlineStr">
        <is>
          <t>Responsável</t>
        </is>
      </c>
      <c r="J1" s="3" t="inlineStr">
        <is>
          <t>Último contato</t>
        </is>
      </c>
      <c r="K1" s="3" t="inlineStr">
        <is>
          <t>Próximo passo</t>
        </is>
      </c>
      <c r="L1" s="3" t="inlineStr">
        <is>
          <t>Data follow-up</t>
        </is>
      </c>
      <c r="M1" s="3" t="inlineStr">
        <is>
          <t>Valor potencial/mês (US$)</t>
        </is>
      </c>
      <c r="N1" s="3" t="inlineStr">
        <is>
          <t>Probabilidade</t>
        </is>
      </c>
      <c r="O1" s="3" t="inlineStr">
        <is>
          <t>Valor ponderado</t>
        </is>
      </c>
      <c r="P1" s="3" t="inlineStr">
        <is>
          <t>Notas</t>
        </is>
      </c>
    </row>
    <row r="2">
      <c r="A2" t="inlineStr">
        <is>
          <t>B01</t>
        </is>
      </c>
      <c r="B2" t="inlineStr">
        <is>
          <t>B-Sinistros</t>
        </is>
      </c>
      <c r="C2" t="inlineStr">
        <is>
          <t>SERVPRO of West Orange</t>
        </is>
      </c>
      <c r="D2" t="inlineStr"/>
      <c r="E2" t="inlineStr">
        <is>
          <t>(407) 352-1569</t>
        </is>
      </c>
      <c r="F2" t="inlineStr">
        <is>
          <t>https://www.servpro.com/locations/fl/servpro-of-west-orange</t>
        </is>
      </c>
      <c r="G2" t="inlineStr">
        <is>
          <t>1</t>
        </is>
      </c>
      <c r="H2" t="inlineStr">
        <is>
          <t>0-Identificado</t>
        </is>
      </c>
      <c r="I2" t="inlineStr">
        <is>
          <t>Renan</t>
        </is>
      </c>
      <c r="J2" s="18" t="n"/>
      <c r="K2" t="inlineStr">
        <is>
          <t>Ligar e pedir o responsável por contents/pack-out; perguntar se terceirizam em picos</t>
        </is>
      </c>
      <c r="L2" s="18">
        <f>IF(J2="","",J2+7)</f>
        <v/>
      </c>
      <c r="M2" s="11" t="n"/>
      <c r="N2" s="19" t="n"/>
      <c r="O2" s="11">
        <f>IF(OR(M2="",N2=""),"",M2*N2)</f>
        <v/>
      </c>
      <c r="P2" t="inlineStr">
        <is>
          <t>Franquia cobre Winter Garden e Ocoee (site oficial). SERVPRO tem processos próprios de contents; avaliar se aceita subcontratado.</t>
        </is>
      </c>
    </row>
    <row r="3">
      <c r="A3" t="inlineStr">
        <is>
          <t>B02</t>
        </is>
      </c>
      <c r="B3" t="inlineStr">
        <is>
          <t>B-Sinistros</t>
        </is>
      </c>
      <c r="C3" t="inlineStr">
        <is>
          <t>PuroClean of Winter Garden</t>
        </is>
      </c>
      <c r="D3" t="inlineStr"/>
      <c r="E3" t="inlineStr">
        <is>
          <t>(407) 848-5888</t>
        </is>
      </c>
      <c r="F3" t="inlineStr">
        <is>
          <t>https://www.puroclean.com/winter-garden-fl-puroclean-winter-garden/service-areas/</t>
        </is>
      </c>
      <c r="G3" t="inlineStr">
        <is>
          <t>1</t>
        </is>
      </c>
      <c r="H3" t="inlineStr">
        <is>
          <t>0-Identificado</t>
        </is>
      </c>
      <c r="I3" t="inlineStr">
        <is>
          <t>Renan</t>
        </is>
      </c>
      <c r="J3" s="18" t="n"/>
      <c r="K3" t="inlineStr">
        <is>
          <t>Visita presencial com one-pager de pack-out</t>
        </is>
      </c>
      <c r="L3" s="18">
        <f>IF(J3="","",J3+7)</f>
        <v/>
      </c>
      <c r="M3" s="11" t="n"/>
      <c r="N3" s="19" t="n"/>
      <c r="O3" s="11">
        <f>IF(OR(M3="",N3=""),"",M3*N3)</f>
        <v/>
      </c>
      <c r="P3" t="inlineStr">
        <is>
          <t>Franquia local; programa de resposta prioritária. Tamanho e capacidade de contents não verificados.</t>
        </is>
      </c>
    </row>
    <row r="4">
      <c r="A4" t="inlineStr">
        <is>
          <t>B03</t>
        </is>
      </c>
      <c r="B4" t="inlineStr">
        <is>
          <t>B-Sinistros</t>
        </is>
      </c>
      <c r="C4" t="inlineStr">
        <is>
          <t>CEO Restoration</t>
        </is>
      </c>
      <c r="D4" t="inlineStr"/>
      <c r="E4" t="inlineStr">
        <is>
          <t>(407) 584-7779 (Nextdoor)</t>
        </is>
      </c>
      <c r="F4" t="inlineStr">
        <is>
          <t>https://ceorestoration.com/</t>
        </is>
      </c>
      <c r="G4" t="inlineStr">
        <is>
          <t>1</t>
        </is>
      </c>
      <c r="H4" t="inlineStr">
        <is>
          <t>0-Identificado</t>
        </is>
      </c>
      <c r="I4" t="inlineStr">
        <is>
          <t>Renan</t>
        </is>
      </c>
      <c r="J4" s="18" t="n"/>
      <c r="K4" t="inlineStr">
        <is>
          <t>Ligar; oferecer pack-out + armazenagem com inventário fotográfico</t>
        </is>
      </c>
      <c r="L4" s="18">
        <f>IF(J4="","",J4+7)</f>
        <v/>
      </c>
      <c r="M4" s="11" t="n"/>
      <c r="N4" s="19" t="n"/>
      <c r="O4" s="11">
        <f>IF(OR(M4="",N4=""),"",M4*N4)</f>
        <v/>
      </c>
      <c r="P4" t="inlineStr">
        <is>
          <t>Empresa independente sediada em Winter Garden (água/fogo/mofo). Avaliações autodeclaradas.</t>
        </is>
      </c>
    </row>
    <row r="5">
      <c r="A5" t="inlineStr">
        <is>
          <t>B04</t>
        </is>
      </c>
      <c r="B5" t="inlineStr">
        <is>
          <t>B-Sinistros</t>
        </is>
      </c>
      <c r="C5" t="inlineStr">
        <is>
          <t>FAST Restoration</t>
        </is>
      </c>
      <c r="D5" t="inlineStr"/>
      <c r="E5" t="inlineStr">
        <is>
          <t>9100 Conroy Windermere Rd Suite 200</t>
        </is>
      </c>
      <c r="F5" t="inlineStr">
        <is>
          <t>https://www.bbb.org/us/fl/winter-garden/category/water-damage-restoration</t>
        </is>
      </c>
      <c r="G5" t="inlineStr">
        <is>
          <t>1</t>
        </is>
      </c>
      <c r="H5" t="inlineStr">
        <is>
          <t>0-Identificado</t>
        </is>
      </c>
      <c r="I5" t="inlineStr">
        <is>
          <t>Renan</t>
        </is>
      </c>
      <c r="J5" s="18" t="n"/>
      <c r="K5" t="inlineStr">
        <is>
          <t>Ligar; pedir reunião com gerente de operações</t>
        </is>
      </c>
      <c r="L5" s="18">
        <f>IF(J5="","",J5+7)</f>
        <v/>
      </c>
      <c r="M5" s="11" t="n"/>
      <c r="N5" s="19" t="n"/>
      <c r="O5" s="11">
        <f>IF(OR(M5="",N5=""),"",M5*N5)</f>
        <v/>
      </c>
      <c r="P5" t="inlineStr">
        <is>
          <t>BBB acreditada A+ (segundo resultado de busca); confirmar no BBB.</t>
        </is>
      </c>
    </row>
    <row r="6">
      <c r="A6" t="inlineStr">
        <is>
          <t>B05</t>
        </is>
      </c>
      <c r="B6" t="inlineStr">
        <is>
          <t>B-Sinistros</t>
        </is>
      </c>
      <c r="C6" t="inlineStr">
        <is>
          <t>All American Water Restoration</t>
        </is>
      </c>
      <c r="D6" t="inlineStr"/>
      <c r="E6" t="inlineStr">
        <is>
          <t>ver site</t>
        </is>
      </c>
      <c r="F6" t="inlineStr">
        <is>
          <t>https://allamericanwaterrestoration.com/service-areas/winter-garden/</t>
        </is>
      </c>
      <c r="G6" t="inlineStr">
        <is>
          <t>2</t>
        </is>
      </c>
      <c r="H6" t="inlineStr">
        <is>
          <t>0-Identificado</t>
        </is>
      </c>
      <c r="I6" t="inlineStr">
        <is>
          <t>Renan</t>
        </is>
      </c>
      <c r="J6" s="18" t="n"/>
      <c r="K6" t="inlineStr">
        <is>
          <t>Formulário/telefone do site</t>
        </is>
      </c>
      <c r="L6" s="18">
        <f>IF(J6="","",J6+7)</f>
        <v/>
      </c>
      <c r="M6" s="11" t="n"/>
      <c r="N6" s="19" t="n"/>
      <c r="O6" s="11">
        <f>IF(OR(M6="",N6=""),"",M6*N6)</f>
        <v/>
      </c>
      <c r="P6" t="inlineStr">
        <is>
          <t>Atende Ocoee/Winter Garden/Windermere. Sede e porte não verificados.</t>
        </is>
      </c>
    </row>
    <row r="7">
      <c r="A7" t="inlineStr">
        <is>
          <t>B06</t>
        </is>
      </c>
      <c r="B7" t="inlineStr">
        <is>
          <t>B-Sinistros</t>
        </is>
      </c>
      <c r="C7" t="inlineStr">
        <is>
          <t>Fortified Integrated Solutions LLC</t>
        </is>
      </c>
      <c r="D7" t="inlineStr"/>
      <c r="E7" t="inlineStr">
        <is>
          <t>352-856-3289</t>
        </is>
      </c>
      <c r="F7" t="inlineStr">
        <is>
          <t>https://fisfacilityservices.com/ocoee-water-damage</t>
        </is>
      </c>
      <c r="G7" t="inlineStr">
        <is>
          <t>2</t>
        </is>
      </c>
      <c r="H7" t="inlineStr">
        <is>
          <t>0-Identificado</t>
        </is>
      </c>
      <c r="I7" t="inlineStr">
        <is>
          <t>Renan</t>
        </is>
      </c>
      <c r="J7" s="18" t="n"/>
      <c r="K7" t="inlineStr">
        <is>
          <t>Ligar</t>
        </is>
      </c>
      <c r="L7" s="18">
        <f>IF(J7="","",J7+7)</f>
        <v/>
      </c>
      <c r="M7" s="11" t="n"/>
      <c r="N7" s="19" t="n"/>
      <c r="O7" s="11">
        <f>IF(OR(M7="",N7=""),"",M7*N7)</f>
        <v/>
      </c>
      <c r="P7" t="inlineStr">
        <is>
          <t>Atende Ocoee/WG/Windermere. Porte não verificado.</t>
        </is>
      </c>
    </row>
    <row r="8">
      <c r="A8" t="inlineStr">
        <is>
          <t>B07</t>
        </is>
      </c>
      <c r="B8" t="inlineStr">
        <is>
          <t>B-Sinistros</t>
        </is>
      </c>
      <c r="C8" t="inlineStr">
        <is>
          <t>Paul Davis Restoration of Orlando</t>
        </is>
      </c>
      <c r="D8" t="inlineStr"/>
      <c r="E8" t="inlineStr">
        <is>
          <t>ver site</t>
        </is>
      </c>
      <c r="F8" t="inlineStr">
        <is>
          <t>https://orlando.pauldavis.com/content-restoration/</t>
        </is>
      </c>
      <c r="G8" t="inlineStr">
        <is>
          <t>2</t>
        </is>
      </c>
      <c r="H8" t="inlineStr">
        <is>
          <t>0-Identificado</t>
        </is>
      </c>
      <c r="I8" t="inlineStr">
        <is>
          <t>Renan</t>
        </is>
      </c>
      <c r="J8" s="18" t="n"/>
      <c r="K8" t="inlineStr">
        <is>
          <t>Sondar overflow em catástrofes (furacão)</t>
        </is>
      </c>
      <c r="L8" s="18">
        <f>IF(J8="","",J8+7)</f>
        <v/>
      </c>
      <c r="M8" s="11" t="n"/>
      <c r="N8" s="19" t="n"/>
      <c r="O8" s="11">
        <f>IF(OR(M8="",N8=""),"",M8*N8)</f>
        <v/>
      </c>
      <c r="P8" t="inlineStr">
        <is>
          <t>Tem centro próprio de limpeza de contents — pode ser concorrente; oportunidade de transbordo em eventos grandes.</t>
        </is>
      </c>
    </row>
    <row r="9">
      <c r="A9" t="inlineStr">
        <is>
          <t>B08</t>
        </is>
      </c>
      <c r="B9" t="inlineStr">
        <is>
          <t>B-Sinistros</t>
        </is>
      </c>
      <c r="C9" t="inlineStr">
        <is>
          <t>ServiceMaster Clean (listagem Winter Garden)</t>
        </is>
      </c>
      <c r="D9" t="inlineStr"/>
      <c r="E9" t="inlineStr">
        <is>
          <t>(321) 441-9172</t>
        </is>
      </c>
      <c r="F9" t="inlineStr">
        <is>
          <t>https://www.yellowpages.com/winter-garden-fl/servpro-of-winter-park</t>
        </is>
      </c>
      <c r="G9" t="inlineStr">
        <is>
          <t>3</t>
        </is>
      </c>
      <c r="H9" t="inlineStr">
        <is>
          <t>0-Identificado</t>
        </is>
      </c>
      <c r="I9" t="inlineStr">
        <is>
          <t>Renan</t>
        </is>
      </c>
      <c r="J9" s="18" t="n"/>
      <c r="K9" t="inlineStr">
        <is>
          <t>Confirmar se a franquia existe antes de contatar</t>
        </is>
      </c>
      <c r="L9" s="18">
        <f>IF(J9="","",J9+7)</f>
        <v/>
      </c>
      <c r="M9" s="11" t="n"/>
      <c r="N9" s="19" t="n"/>
      <c r="O9" s="11">
        <f>IF(OR(M9="",N9=""),"",M9*N9)</f>
        <v/>
      </c>
      <c r="P9" t="inlineStr">
        <is>
          <t>Listagem de diretório NÃO verificada no site oficial.</t>
        </is>
      </c>
    </row>
    <row r="10">
      <c r="A10" t="inlineStr">
        <is>
          <t>B09</t>
        </is>
      </c>
      <c r="B10" t="inlineStr">
        <is>
          <t>B-Sinistros</t>
        </is>
      </c>
      <c r="C10" t="inlineStr">
        <is>
          <t>Florida Property Cleaners LLC</t>
        </is>
      </c>
      <c r="D10" t="inlineStr"/>
      <c r="E10" t="inlineStr">
        <is>
          <t>ver BBB</t>
        </is>
      </c>
      <c r="F10" t="inlineStr">
        <is>
          <t>https://www.bbb.org/us/fl/winter-garden/category/water-damage-restoration</t>
        </is>
      </c>
      <c r="G10" t="inlineStr">
        <is>
          <t>3</t>
        </is>
      </c>
      <c r="H10" t="inlineStr">
        <is>
          <t>0-Identificado</t>
        </is>
      </c>
      <c r="I10" t="inlineStr">
        <is>
          <t>Renan</t>
        </is>
      </c>
      <c r="J10" s="18" t="n"/>
      <c r="K10" t="inlineStr">
        <is>
          <t>Pesquisar porte/serviços</t>
        </is>
      </c>
      <c r="L10" s="18">
        <f>IF(J10="","",J10+7)</f>
        <v/>
      </c>
      <c r="M10" s="11" t="n"/>
      <c r="N10" s="19" t="n"/>
      <c r="O10" s="11">
        <f>IF(OR(M10="",N10=""),"",M10*N10)</f>
        <v/>
      </c>
      <c r="P10" t="inlineStr">
        <is>
          <t>Listado no BBB categoria water damage Winter Garden.</t>
        </is>
      </c>
    </row>
    <row r="11">
      <c r="A11" t="inlineStr">
        <is>
          <t>B10</t>
        </is>
      </c>
      <c r="B11" t="inlineStr">
        <is>
          <t>B-Sinistros</t>
        </is>
      </c>
      <c r="C11" t="inlineStr">
        <is>
          <t>Hero Remediation LLC</t>
        </is>
      </c>
      <c r="D11" t="inlineStr"/>
      <c r="E11" t="inlineStr">
        <is>
          <t>ver BBB</t>
        </is>
      </c>
      <c r="F11" t="inlineStr">
        <is>
          <t>https://www.bbb.org/us/fl/winter-garden/category/water-damage-restoration</t>
        </is>
      </c>
      <c r="G11" t="inlineStr">
        <is>
          <t>3</t>
        </is>
      </c>
      <c r="H11" t="inlineStr">
        <is>
          <t>0-Identificado</t>
        </is>
      </c>
      <c r="I11" t="inlineStr">
        <is>
          <t>Renan</t>
        </is>
      </c>
      <c r="J11" s="18" t="n"/>
      <c r="K11" t="inlineStr">
        <is>
          <t>Pesquisar porte/serviços</t>
        </is>
      </c>
      <c r="L11" s="18">
        <f>IF(J11="","",J11+7)</f>
        <v/>
      </c>
      <c r="M11" s="11" t="n"/>
      <c r="N11" s="19" t="n"/>
      <c r="O11" s="11">
        <f>IF(OR(M11="",N11=""),"",M11*N11)</f>
        <v/>
      </c>
      <c r="P11" t="inlineStr">
        <is>
          <t>Listado no BBB categoria water damage Winter Garden.</t>
        </is>
      </c>
    </row>
    <row r="12">
      <c r="A12" t="inlineStr">
        <is>
          <t>B11</t>
        </is>
      </c>
      <c r="B12" t="inlineStr">
        <is>
          <t>B-Sinistros</t>
        </is>
      </c>
      <c r="C12" t="inlineStr">
        <is>
          <t>AdvantaClean of Clermont</t>
        </is>
      </c>
      <c r="D12" t="inlineStr"/>
      <c r="E12" t="inlineStr">
        <is>
          <t>ver BBB</t>
        </is>
      </c>
      <c r="F12" t="inlineStr">
        <is>
          <t>https://www.bbb.org/us/fl/winter-garden/category/water-damage-restoration</t>
        </is>
      </c>
      <c r="G12" t="inlineStr">
        <is>
          <t>3</t>
        </is>
      </c>
      <c r="H12" t="inlineStr">
        <is>
          <t>0-Identificado</t>
        </is>
      </c>
      <c r="I12" t="inlineStr">
        <is>
          <t>Renan</t>
        </is>
      </c>
      <c r="J12" s="18" t="n"/>
      <c r="K12" t="inlineStr">
        <is>
          <t>Pesquisar porte/serviços</t>
        </is>
      </c>
      <c r="L12" s="18">
        <f>IF(J12="","",J12+7)</f>
        <v/>
      </c>
      <c r="M12" s="11" t="n"/>
      <c r="N12" s="19" t="n"/>
      <c r="O12" s="11">
        <f>IF(OR(M12="",N12=""),"",M12*N12)</f>
        <v/>
      </c>
      <c r="P12" t="inlineStr">
        <is>
          <t>Listado no BBB; cobre área oeste.</t>
        </is>
      </c>
    </row>
    <row r="13">
      <c r="A13" t="inlineStr">
        <is>
          <t>A01</t>
        </is>
      </c>
      <c r="B13" t="inlineStr">
        <is>
          <t>A-Corretores</t>
        </is>
      </c>
      <c r="C13" t="inlineStr">
        <is>
          <t>Keller Williams Realty at the Parks (Ocoee)</t>
        </is>
      </c>
      <c r="D13" t="inlineStr"/>
      <c r="E13" t="inlineStr">
        <is>
          <t>ver Zillow</t>
        </is>
      </c>
      <c r="F13" t="inlineStr">
        <is>
          <t>https://www.zillow.com/professionals/real-estate-agent-reviews/winter-garden-fl/</t>
        </is>
      </c>
      <c r="G13" t="inlineStr">
        <is>
          <t>1</t>
        </is>
      </c>
      <c r="H13" t="inlineStr">
        <is>
          <t>0-Identificado</t>
        </is>
      </c>
      <c r="I13" t="inlineStr">
        <is>
          <t>Renan</t>
        </is>
      </c>
      <c r="J13" s="18" t="n"/>
      <c r="K13" t="inlineStr">
        <is>
          <t>Pedir 10 min na reunião semanal de equipe (team meeting) para apresentar programa de parceria</t>
        </is>
      </c>
      <c r="L13" s="18">
        <f>IF(J13="","",J13+7)</f>
        <v/>
      </c>
      <c r="M13" s="11" t="n"/>
      <c r="N13" s="19" t="n"/>
      <c r="O13" s="11">
        <f>IF(OR(M13="",N13=""),"",M13*N13)</f>
        <v/>
      </c>
      <c r="P13" t="inlineStr">
        <is>
          <t>Zillow: 1.073 vendas da equipe em 12 meses; 189 em Winter Garden (dados do resultado de busca).</t>
        </is>
      </c>
    </row>
    <row r="14">
      <c r="A14" t="inlineStr">
        <is>
          <t>A02</t>
        </is>
      </c>
      <c r="B14" t="inlineStr">
        <is>
          <t>A-Corretores</t>
        </is>
      </c>
      <c r="C14" t="inlineStr">
        <is>
          <t>Keller Williams Advantage III</t>
        </is>
      </c>
      <c r="D14" t="inlineStr"/>
      <c r="E14" t="inlineStr">
        <is>
          <t>ver kw.com</t>
        </is>
      </c>
      <c r="F14" t="inlineStr">
        <is>
          <t>https://kw.com/area/historic-winter-garden-winter-garden-fl/51170</t>
        </is>
      </c>
      <c r="G14" t="inlineStr">
        <is>
          <t>2</t>
        </is>
      </c>
      <c r="H14" t="inlineStr">
        <is>
          <t>0-Identificado</t>
        </is>
      </c>
      <c r="I14" t="inlineStr">
        <is>
          <t>Renan</t>
        </is>
      </c>
      <c r="J14" s="18" t="n"/>
      <c r="K14" t="inlineStr">
        <is>
          <t>Identificar líder de equipe e endereço</t>
        </is>
      </c>
      <c r="L14" s="18">
        <f>IF(J14="","",J14+7)</f>
        <v/>
      </c>
      <c r="M14" s="11" t="n"/>
      <c r="N14" s="19" t="n"/>
      <c r="O14" s="11">
        <f>IF(OR(M14="",N14=""),"",M14*N14)</f>
        <v/>
      </c>
      <c r="P14" t="inlineStr">
        <is>
          <t>Aparece em listagens de Winter Garden.</t>
        </is>
      </c>
    </row>
    <row r="15">
      <c r="A15" t="inlineStr">
        <is>
          <t>A03</t>
        </is>
      </c>
      <c r="B15" t="inlineStr">
        <is>
          <t>A-Corretores</t>
        </is>
      </c>
      <c r="C15" t="inlineStr">
        <is>
          <t>Coldwell Banker Realty — Dr. Phillips/Via Dellagio</t>
        </is>
      </c>
      <c r="D15" t="inlineStr"/>
      <c r="E15" t="inlineStr">
        <is>
          <t>7940 Via Dellagio Way Ste 100 Orlando FL 32819</t>
        </is>
      </c>
      <c r="F15" t="inlineStr">
        <is>
          <t>https://www.coldwellbanker.com/fl/orlando/offices/coldwell-banker-realty/oid-P00400000FDdqUVl32otHKnB6iSXDRlW0jQujNs8</t>
        </is>
      </c>
      <c r="G15" t="inlineStr">
        <is>
          <t>2</t>
        </is>
      </c>
      <c r="H15" t="inlineStr">
        <is>
          <t>0-Identificado</t>
        </is>
      </c>
      <c r="I15" t="inlineStr">
        <is>
          <t>Renan</t>
        </is>
      </c>
      <c r="J15" s="18" t="n"/>
      <c r="K15" t="inlineStr">
        <is>
          <t>Pedir espaço em reunião de escritório</t>
        </is>
      </c>
      <c r="L15" s="18">
        <f>IF(J15="","",J15+7)</f>
        <v/>
      </c>
      <c r="M15" s="11" t="n"/>
      <c r="N15" s="19" t="n"/>
      <c r="O15" s="11">
        <f>IF(OR(M15="",N15=""),"",M15*N15)</f>
        <v/>
      </c>
      <c r="P15" t="inlineStr">
        <is>
          <t>Escritório lista Winter Garden como área atendida.</t>
        </is>
      </c>
    </row>
    <row r="16">
      <c r="A16" t="inlineStr">
        <is>
          <t>A04</t>
        </is>
      </c>
      <c r="B16" t="inlineStr">
        <is>
          <t>A-Corretores</t>
        </is>
      </c>
      <c r="C16" t="inlineStr">
        <is>
          <t>Olympus Executive Realty</t>
        </is>
      </c>
      <c r="D16" t="inlineStr"/>
      <c r="E16" t="inlineStr">
        <is>
          <t>ver listagens</t>
        </is>
      </c>
      <c r="F16" t="inlineStr">
        <is>
          <t>https://www.homes.com/real-estate-agents/winter-garden-fl/</t>
        </is>
      </c>
      <c r="G16" t="inlineStr">
        <is>
          <t>2</t>
        </is>
      </c>
      <c r="H16" t="inlineStr">
        <is>
          <t>0-Identificado</t>
        </is>
      </c>
      <c r="I16" t="inlineStr">
        <is>
          <t>Renan</t>
        </is>
      </c>
      <c r="J16" s="18" t="n"/>
      <c r="K16" t="inlineStr">
        <is>
          <t>Confirmar endereço do escritório</t>
        </is>
      </c>
      <c r="L16" s="18">
        <f>IF(J16="","",J16+7)</f>
        <v/>
      </c>
      <c r="M16" s="11" t="n"/>
      <c r="N16" s="19" t="n"/>
      <c r="O16" s="11">
        <f>IF(OR(M16="",N16=""),"",M16*N16)</f>
        <v/>
      </c>
      <c r="P16" t="inlineStr">
        <is>
          <t>Várias listagens em Winter Garden; escritório possivelmente em Montverde.</t>
        </is>
      </c>
    </row>
    <row r="17">
      <c r="A17" t="inlineStr">
        <is>
          <t>A05</t>
        </is>
      </c>
      <c r="B17" t="inlineStr">
        <is>
          <t>A-Corretores</t>
        </is>
      </c>
      <c r="C17" t="inlineStr">
        <is>
          <t>Compass Florida (presença em Winter Garden)</t>
        </is>
      </c>
      <c r="D17" t="inlineStr"/>
      <c r="E17" t="inlineStr">
        <is>
          <t>ver listagens</t>
        </is>
      </c>
      <c r="F17" t="inlineStr">
        <is>
          <t>https://www.hometrino.com/fl-34777/</t>
        </is>
      </c>
      <c r="G17" t="inlineStr">
        <is>
          <t>3</t>
        </is>
      </c>
      <c r="H17" t="inlineStr">
        <is>
          <t>0-Identificado</t>
        </is>
      </c>
      <c r="I17" t="inlineStr">
        <is>
          <t>Renan</t>
        </is>
      </c>
      <c r="J17" s="18" t="n"/>
      <c r="K17" t="inlineStr">
        <is>
          <t>Confirmar escritório/equipe local</t>
        </is>
      </c>
      <c r="L17" s="18">
        <f>IF(J17="","",J17+7)</f>
        <v/>
      </c>
      <c r="M17" s="11" t="n"/>
      <c r="N17" s="19" t="n"/>
      <c r="O17" s="11">
        <f>IF(OR(M17="",N17=""),"",M17*N17)</f>
        <v/>
      </c>
      <c r="P17" t="inlineStr">
        <is>
          <t>Somente listagem de imóvel encontrada; escritório local não confirmado.</t>
        </is>
      </c>
    </row>
    <row r="18">
      <c r="A18" t="inlineStr">
        <is>
          <t>A06</t>
        </is>
      </c>
      <c r="B18" t="inlineStr">
        <is>
          <t>A-Corretores</t>
        </is>
      </c>
      <c r="C18" t="inlineStr">
        <is>
          <t>Orlando Regional REALTOR Association — programa de afiliados</t>
        </is>
      </c>
      <c r="D18" t="inlineStr"/>
      <c r="E18" t="inlineStr">
        <is>
          <t>ver site</t>
        </is>
      </c>
      <c r="F18" t="inlineStr">
        <is>
          <t>https://www.orlandorealtors.org/affiliates</t>
        </is>
      </c>
      <c r="G18" t="inlineStr">
        <is>
          <t>1</t>
        </is>
      </c>
      <c r="H18" t="inlineStr">
        <is>
          <t>0-Identificado</t>
        </is>
      </c>
      <c r="I18" t="inlineStr">
        <is>
          <t>Renan</t>
        </is>
      </c>
      <c r="J18" s="18" t="n"/>
      <c r="K18" t="inlineStr">
        <is>
          <t>Consultar taxa de afiliado e patrocínio de aulas</t>
        </is>
      </c>
      <c r="L18" s="18">
        <f>IF(J18="","",J18+7)</f>
        <v/>
      </c>
      <c r="M18" s="11" t="n"/>
      <c r="N18" s="19" t="n"/>
      <c r="O18" s="11">
        <f>IF(OR(M18="",N18=""),"",M18*N18)</f>
        <v/>
      </c>
      <c r="P18" t="inlineStr">
        <is>
          <t>18.000+ membros (autodeclarado). Afiliado tem diretório e destaque semanal.</t>
        </is>
      </c>
    </row>
    <row r="19">
      <c r="A19" t="inlineStr">
        <is>
          <t>A07</t>
        </is>
      </c>
      <c r="B19" t="inlineStr">
        <is>
          <t>A-Corretores</t>
        </is>
      </c>
      <c r="C19" t="inlineStr">
        <is>
          <t>Top 20 agentes individuais de Winter Garden/Ocoee/Horizon West</t>
        </is>
      </c>
      <c r="D19" t="inlineStr"/>
      <c r="E19" t="inlineStr">
        <is>
          <t>a levantar</t>
        </is>
      </c>
      <c r="F19" t="inlineStr">
        <is>
          <t>https://www.fastexpert.com/top-real-estate-agents/winter-garden-fl/</t>
        </is>
      </c>
      <c r="G19" t="inlineStr">
        <is>
          <t>1</t>
        </is>
      </c>
      <c r="H19" t="inlineStr">
        <is>
          <t>0-Identificado</t>
        </is>
      </c>
      <c r="I19" t="inlineStr">
        <is>
          <t>Renan</t>
        </is>
      </c>
      <c r="J19" s="18" t="n"/>
      <c r="K19" t="inlineStr">
        <is>
          <t>Montar lista nominal a partir de Zillow/Homes.com/MLS (não inventar nomes)</t>
        </is>
      </c>
      <c r="L19" s="18">
        <f>IF(J19="","",J19+7)</f>
        <v/>
      </c>
      <c r="M19" s="11" t="n"/>
      <c r="N19" s="19" t="n"/>
      <c r="O19" s="11">
        <f>IF(OR(M19="",N19=""),"",M19*N19)</f>
        <v/>
      </c>
      <c r="P19" t="inlineStr">
        <is>
          <t>Prospect individual é o canal com maior conversão; lista ainda não levantada.</t>
        </is>
      </c>
    </row>
    <row r="20">
      <c r="A20" t="inlineStr">
        <is>
          <t>C01</t>
        </is>
      </c>
      <c r="B20" t="inlineStr">
        <is>
          <t>C-Governo</t>
        </is>
      </c>
      <c r="C20" t="inlineStr">
        <is>
          <t>SAM.gov — registro da Seckler (pré-requisito)</t>
        </is>
      </c>
      <c r="D20" t="inlineStr"/>
      <c r="E20" t="inlineStr">
        <is>
          <t>n/a</t>
        </is>
      </c>
      <c r="F20" t="inlineStr">
        <is>
          <t>https://sam.gov</t>
        </is>
      </c>
      <c r="G20" t="inlineStr">
        <is>
          <t>1</t>
        </is>
      </c>
      <c r="H20" t="inlineStr">
        <is>
          <t>0-Identificado</t>
        </is>
      </c>
      <c r="I20" t="inlineStr">
        <is>
          <t>Renan</t>
        </is>
      </c>
      <c r="J20" s="18" t="n"/>
      <c r="K20" t="inlineStr">
        <is>
          <t>Verificar se já existe UEI; registrar NAICS 484210/493110/484220</t>
        </is>
      </c>
      <c r="L20" s="18">
        <f>IF(J20="","",J20+7)</f>
        <v/>
      </c>
      <c r="M20" s="11" t="n"/>
      <c r="N20" s="19" t="n"/>
      <c r="O20" s="11">
        <f>IF(OR(M20="",N20=""),"",M20*N20)</f>
        <v/>
      </c>
      <c r="P20" t="inlineStr">
        <is>
          <t>Gratuito; renovação anual; ativação ~10 dias úteis a 4-6 semanas.</t>
        </is>
      </c>
    </row>
    <row r="21">
      <c r="A21" t="inlineStr">
        <is>
          <t>C02</t>
        </is>
      </c>
      <c r="B21" t="inlineStr">
        <is>
          <t>C-Governo</t>
        </is>
      </c>
      <c r="C21" t="inlineStr">
        <is>
          <t>Orange County Government — OrangeBids</t>
        </is>
      </c>
      <c r="D21" t="inlineStr"/>
      <c r="E21" t="inlineStr">
        <is>
          <t>n/a</t>
        </is>
      </c>
      <c r="F21" t="inlineStr">
        <is>
          <t>https://apps.ocfl.net/OrangeBids/bidaward.asp</t>
        </is>
      </c>
      <c r="G21" t="inlineStr">
        <is>
          <t>2</t>
        </is>
      </c>
      <c r="H21" t="inlineStr">
        <is>
          <t>0-Identificado</t>
        </is>
      </c>
      <c r="I21" t="inlineStr">
        <is>
          <t>Renan</t>
        </is>
      </c>
      <c r="J21" s="18" t="n"/>
      <c r="K21" t="inlineStr">
        <is>
          <t>Cadastrar fornecedor e criar alerta para moving/relocation/storage</t>
        </is>
      </c>
      <c r="L21" s="18">
        <f>IF(J21="","",J21+7)</f>
        <v/>
      </c>
      <c r="M21" s="11" t="n"/>
      <c r="N21" s="19" t="n"/>
      <c r="O21" s="11">
        <f>IF(OR(M21="",N21=""),"",M21*N21)</f>
        <v/>
      </c>
      <c r="P21" t="inlineStr">
        <is>
          <t>Nenhum contrato de mudança encontrado nos resultados.</t>
        </is>
      </c>
    </row>
    <row r="22">
      <c r="A22" t="inlineStr">
        <is>
          <t>C03</t>
        </is>
      </c>
      <c r="B22" t="inlineStr">
        <is>
          <t>C-Governo</t>
        </is>
      </c>
      <c r="C22" t="inlineStr">
        <is>
          <t>MyFloridaMarketPlace (Estado da Flórida)</t>
        </is>
      </c>
      <c r="D22" t="inlineStr"/>
      <c r="E22" t="inlineStr">
        <is>
          <t>n/a</t>
        </is>
      </c>
      <c r="F22" t="inlineStr">
        <is>
          <t>https://www.floridadisaster.org/dem/procurement-and-contract-management/how-to-do-business-with-the-state/</t>
        </is>
      </c>
      <c r="G22" t="inlineStr">
        <is>
          <t>2</t>
        </is>
      </c>
      <c r="H22" t="inlineStr">
        <is>
          <t>0-Identificado</t>
        </is>
      </c>
      <c r="I22" t="inlineStr">
        <is>
          <t>Renan</t>
        </is>
      </c>
      <c r="J22" s="18" t="n"/>
      <c r="K22" t="inlineStr">
        <is>
          <t>Cadastro no Vendor Information Portal + W-9 no DFS</t>
        </is>
      </c>
      <c r="L22" s="18">
        <f>IF(J22="","",J22+7)</f>
        <v/>
      </c>
      <c r="M22" s="11" t="n"/>
      <c r="N22" s="19" t="n"/>
      <c r="O22" s="11">
        <f>IF(OR(M22="",N22=""),"",M22*N22)</f>
        <v/>
      </c>
      <c r="P22" t="inlineStr">
        <is>
          <t>Não foi encontrado State Term Contract de mudanças; FDOT lista moving como categoria.</t>
        </is>
      </c>
    </row>
    <row r="23">
      <c r="A23" t="inlineStr">
        <is>
          <t>C04</t>
        </is>
      </c>
      <c r="B23" t="inlineStr">
        <is>
          <t>C-Governo</t>
        </is>
      </c>
      <c r="C23" t="inlineStr">
        <is>
          <t>Orange County Public Schools e UCF — portais de compras</t>
        </is>
      </c>
      <c r="D23" t="inlineStr"/>
      <c r="E23" t="inlineStr">
        <is>
          <t>n/a</t>
        </is>
      </c>
      <c r="F23" t="inlineStr">
        <is>
          <t>a levantar</t>
        </is>
      </c>
      <c r="G23" t="inlineStr">
        <is>
          <t>3</t>
        </is>
      </c>
      <c r="H23" t="inlineStr">
        <is>
          <t>0-Identificado</t>
        </is>
      </c>
      <c r="I23" t="inlineStr">
        <is>
          <t>Renan</t>
        </is>
      </c>
      <c r="J23" s="18" t="n"/>
      <c r="K23" t="inlineStr">
        <is>
          <t>Localizar portais e criar alertas</t>
        </is>
      </c>
      <c r="L23" s="18">
        <f>IF(J23="","",J23+7)</f>
        <v/>
      </c>
      <c r="M23" s="11" t="n"/>
      <c r="N23" s="19" t="n"/>
      <c r="O23" s="11">
        <f>IF(OR(M23="",N23=""),"",M23*N23)</f>
        <v/>
      </c>
      <c r="P23" t="inlineStr">
        <is>
          <t>Busca não retornou editais de mudança.</t>
        </is>
      </c>
    </row>
    <row r="24">
      <c r="A24" t="inlineStr">
        <is>
          <t>C05</t>
        </is>
      </c>
      <c r="B24" t="inlineStr">
        <is>
          <t>C-Governo</t>
        </is>
      </c>
      <c r="C24" t="inlineStr">
        <is>
          <t>DoD Personal Property (DP3 / Tender of Service)</t>
        </is>
      </c>
      <c r="D24" t="inlineStr"/>
      <c r="E24" t="inlineStr">
        <is>
          <t>n/a</t>
        </is>
      </c>
      <c r="F24" t="inlineStr">
        <is>
          <t>https://media.defense.gov/2026/Apr/20/2003915130/-1/-1/0/2026%20DPMO%20TSP%20QUALIFICATIONS%20(5%20DEC%2025)%20FINAL.PDF</t>
        </is>
      </c>
      <c r="G24" t="inlineStr">
        <is>
          <t>3</t>
        </is>
      </c>
      <c r="H24" t="inlineStr">
        <is>
          <t>0-Identificado</t>
        </is>
      </c>
      <c r="I24" t="inlineStr">
        <is>
          <t>Renan</t>
        </is>
      </c>
      <c r="J24" s="18" t="n"/>
      <c r="K24" t="inlineStr">
        <is>
          <t>Não perseguir agora</t>
        </is>
      </c>
      <c r="L24" s="18">
        <f>IF(J24="","",J24+7)</f>
        <v/>
      </c>
      <c r="M24" s="11" t="n"/>
      <c r="N24" s="19" t="n"/>
      <c r="O24" s="11">
        <f>IF(OR(M24="",N24=""),"",M24*N24)</f>
        <v/>
      </c>
      <c r="P24" t="inlineStr">
        <is>
          <t>Exige autoridade operacional HHG + seguro + CMMC nível 1; GHC/HomeSafe encerrado em 06/2025.</t>
        </is>
      </c>
    </row>
    <row r="25">
      <c r="A25" t="inlineStr">
        <is>
          <t>C06</t>
        </is>
      </c>
      <c r="B25" t="inlineStr">
        <is>
          <t>C-Governo</t>
        </is>
      </c>
      <c r="C25" t="inlineStr">
        <is>
          <t>GSA MAS SIN 541614OR (office relocation)</t>
        </is>
      </c>
      <c r="D25" t="inlineStr"/>
      <c r="E25" t="inlineStr">
        <is>
          <t>n/a</t>
        </is>
      </c>
      <c r="F25" t="inlineStr">
        <is>
          <t>https://highergov.com/vehicle/mas-office-management-office-relocation-and-reconfiguration-sin-541614or-5183</t>
        </is>
      </c>
      <c r="G25" t="inlineStr">
        <is>
          <t>3</t>
        </is>
      </c>
      <c r="H25" t="inlineStr">
        <is>
          <t>0-Identificado</t>
        </is>
      </c>
      <c r="I25" t="inlineStr">
        <is>
          <t>Renan</t>
        </is>
      </c>
      <c r="J25" s="18" t="n"/>
      <c r="K25" t="inlineStr">
        <is>
          <t>Reavaliar após 2-3 anos de demonstrativos e referências comerciais</t>
        </is>
      </c>
      <c r="L25" s="18">
        <f>IF(J25="","",J25+7)</f>
        <v/>
      </c>
      <c r="M25" s="11" t="n"/>
      <c r="N25" s="19" t="n"/>
      <c r="O25" s="11">
        <f>IF(OR(M25="",N25=""),"",M25*N25)</f>
        <v/>
      </c>
      <c r="P25" t="inlineStr">
        <is>
          <t>Exige proposta formal ao GSA; muito esforço para empresa de 1 caminhão.</t>
        </is>
      </c>
    </row>
    <row r="26">
      <c r="A26" t="inlineStr">
        <is>
          <t>C07</t>
        </is>
      </c>
      <c r="B26" t="inlineStr">
        <is>
          <t>C-Governo</t>
        </is>
      </c>
      <c r="C26" t="inlineStr">
        <is>
          <t>Suddath (possível prime / parceiro)</t>
        </is>
      </c>
      <c r="D26" t="inlineStr"/>
      <c r="E26" t="inlineStr">
        <is>
          <t>ver site</t>
        </is>
      </c>
      <c r="F26" t="inlineStr">
        <is>
          <t>https://suddath.com/moving-company/orlando/</t>
        </is>
      </c>
      <c r="G26" t="inlineStr">
        <is>
          <t>2</t>
        </is>
      </c>
      <c r="H26" t="inlineStr">
        <is>
          <t>0-Identificado</t>
        </is>
      </c>
      <c r="I26" t="inlineStr">
        <is>
          <t>Renan</t>
        </is>
      </c>
      <c r="J26" s="18" t="n"/>
      <c r="K26" t="inlineStr">
        <is>
          <t>Sondar subcontratação local/overflow em Orlando</t>
        </is>
      </c>
      <c r="L26" s="18">
        <f>IF(J26="","",J26+7)</f>
        <v/>
      </c>
      <c r="M26" s="11" t="n"/>
      <c r="N26" s="19" t="n"/>
      <c r="O26" s="11">
        <f>IF(OR(M26="",N26=""),"",M26*N26)</f>
        <v/>
      </c>
      <c r="P26" t="inlineStr">
        <is>
          <t>Tem 10.000 sf climatizados em Orlando (autodeclarado). Atuação em governo não verificada nesta pesquisa.</t>
        </is>
      </c>
    </row>
    <row r="27">
      <c r="A27" t="inlineStr">
        <is>
          <t>D01</t>
        </is>
      </c>
      <c r="B27" t="inlineStr">
        <is>
          <t>D-Parceiro armazenagem</t>
        </is>
      </c>
      <c r="C27" t="inlineStr">
        <is>
          <t>1st Class Moving and Storage</t>
        </is>
      </c>
      <c r="D27" t="inlineStr"/>
      <c r="E27" t="inlineStr">
        <is>
          <t>2149 Viscount Row Orlando FL 32809</t>
        </is>
      </c>
      <c r="F27" t="inlineStr">
        <is>
          <t>https://movingwithclass.com/moving-storage/</t>
        </is>
      </c>
      <c r="G27" t="inlineStr">
        <is>
          <t>1</t>
        </is>
      </c>
      <c r="H27" t="inlineStr">
        <is>
          <t>0-Identificado</t>
        </is>
      </c>
      <c r="I27" t="inlineStr">
        <is>
          <t>Renan</t>
        </is>
      </c>
      <c r="J27" s="18" t="n"/>
      <c r="K27" t="inlineStr">
        <is>
          <t>Cotar armazenagem por vault no atacado (cenário A)</t>
        </is>
      </c>
      <c r="L27" s="18">
        <f>IF(J27="","",J27+7)</f>
        <v/>
      </c>
      <c r="M27" s="11" t="n"/>
      <c r="N27" s="19" t="n"/>
      <c r="O27" s="11">
        <f>IF(OR(M27="",N27=""),"",M27*N27)</f>
        <v/>
      </c>
      <c r="P27" t="inlineStr">
        <is>
          <t>Declara &gt;1 milhão de pés³ climatizados em vaults. Também concorrente.</t>
        </is>
      </c>
    </row>
    <row r="28">
      <c r="A28" t="inlineStr">
        <is>
          <t>D02</t>
        </is>
      </c>
      <c r="B28" t="inlineStr">
        <is>
          <t>D-Parceiro armazenagem</t>
        </is>
      </c>
      <c r="C28" t="inlineStr">
        <is>
          <t>Cento Family Moving &amp; Storage</t>
        </is>
      </c>
      <c r="D28" t="inlineStr"/>
      <c r="E28" t="inlineStr">
        <is>
          <t>717 S Kirkman Rd Orlando FL 32811</t>
        </is>
      </c>
      <c r="F28" t="inlineStr">
        <is>
          <t>https://centomoving.com/</t>
        </is>
      </c>
      <c r="G28" t="inlineStr">
        <is>
          <t>1</t>
        </is>
      </c>
      <c r="H28" t="inlineStr">
        <is>
          <t>0-Identificado</t>
        </is>
      </c>
      <c r="I28" t="inlineStr">
        <is>
          <t>Renan</t>
        </is>
      </c>
      <c r="J28" s="18" t="n"/>
      <c r="K28" t="inlineStr">
        <is>
          <t>Cotar armazenagem por vault</t>
        </is>
      </c>
      <c r="L28" s="18">
        <f>IF(J28="","",J28+7)</f>
        <v/>
      </c>
      <c r="M28" s="11" t="n"/>
      <c r="N28" s="19" t="n"/>
      <c r="O28" s="11">
        <f>IF(OR(M28="",N28=""),"",M28*N28)</f>
        <v/>
      </c>
      <c r="P28" t="inlineStr">
        <is>
          <t>Armazém próprio climatizado. Também concorrente.</t>
        </is>
      </c>
    </row>
    <row r="29">
      <c r="A29" t="inlineStr">
        <is>
          <t>D03</t>
        </is>
      </c>
      <c r="B29" t="inlineStr">
        <is>
          <t>D-Parceiro armazenagem</t>
        </is>
      </c>
      <c r="C29" t="inlineStr">
        <is>
          <t>J&amp;J Metro Moving and Storage</t>
        </is>
      </c>
      <c r="D29" t="inlineStr"/>
      <c r="E29" t="inlineStr">
        <is>
          <t>ver site</t>
        </is>
      </c>
      <c r="F29" t="inlineStr">
        <is>
          <t>https://jjmetro.com/orlando-storage-services/</t>
        </is>
      </c>
      <c r="G29" t="inlineStr">
        <is>
          <t>2</t>
        </is>
      </c>
      <c r="H29" t="inlineStr">
        <is>
          <t>0-Identificado</t>
        </is>
      </c>
      <c r="I29" t="inlineStr">
        <is>
          <t>Renan</t>
        </is>
      </c>
      <c r="J29" s="18" t="n"/>
      <c r="K29" t="inlineStr">
        <is>
          <t>Cotar armazenagem por vault</t>
        </is>
      </c>
      <c r="L29" s="18">
        <f>IF(J29="","",J29+7)</f>
        <v/>
      </c>
      <c r="M29" s="11" t="n"/>
      <c r="N29" s="19" t="n"/>
      <c r="O29" s="11">
        <f>IF(OR(M29="",N29=""),"",M29*N29)</f>
        <v/>
      </c>
      <c r="P29" t="inlineStr">
        <is>
          <t>Vaults + racking para itens grandes; fundada em 1968 (autodeclarado).</t>
        </is>
      </c>
    </row>
    <row r="30">
      <c r="A30" t="inlineStr">
        <is>
          <t>D04</t>
        </is>
      </c>
      <c r="B30" t="inlineStr">
        <is>
          <t>D-Parceiro armazenagem</t>
        </is>
      </c>
      <c r="C30" t="inlineStr">
        <is>
          <t>Shoreview Moving and Storage</t>
        </is>
      </c>
      <c r="D30" t="inlineStr"/>
      <c r="E30" t="inlineStr">
        <is>
          <t>321-463-6839</t>
        </is>
      </c>
      <c r="F30" t="inlineStr">
        <is>
          <t>https://orlando.shoreviewmoving.com/moving-services/moving-and-storage/warehouse-storage</t>
        </is>
      </c>
      <c r="G30" t="inlineStr">
        <is>
          <t>2</t>
        </is>
      </c>
      <c r="H30" t="inlineStr">
        <is>
          <t>0-Identificado</t>
        </is>
      </c>
      <c r="I30" t="inlineStr">
        <is>
          <t>Renan</t>
        </is>
      </c>
      <c r="J30" s="18" t="n"/>
      <c r="K30" t="inlineStr">
        <is>
          <t>Cotar armazenagem por vault</t>
        </is>
      </c>
      <c r="L30" s="18">
        <f>IF(J30="","",J30+7)</f>
        <v/>
      </c>
      <c r="M30" s="11" t="n"/>
      <c r="N30" s="19" t="n"/>
      <c r="O30" s="11">
        <f>IF(OR(M30="",N30=""),"",M30*N30)</f>
        <v/>
      </c>
      <c r="P30" t="inlineStr">
        <is>
          <t>Armazém em Orlando.</t>
        </is>
      </c>
    </row>
    <row r="31">
      <c r="A31" t="inlineStr">
        <is>
          <t>D05</t>
        </is>
      </c>
      <c r="B31" t="inlineStr">
        <is>
          <t>D-Parceiro armazenagem</t>
        </is>
      </c>
      <c r="C31" t="inlineStr">
        <is>
          <t>2 College Brothers Orlando</t>
        </is>
      </c>
      <c r="D31" t="inlineStr"/>
      <c r="E31" t="inlineStr">
        <is>
          <t>ver site</t>
        </is>
      </c>
      <c r="F31" t="inlineStr">
        <is>
          <t>https://2collegebrothers.com/orlando/moving-services/storage-services/</t>
        </is>
      </c>
      <c r="G31" t="inlineStr">
        <is>
          <t>3</t>
        </is>
      </c>
      <c r="H31" t="inlineStr">
        <is>
          <t>0-Identificado</t>
        </is>
      </c>
      <c r="I31" t="inlineStr">
        <is>
          <t>Renan</t>
        </is>
      </c>
      <c r="J31" s="18" t="n"/>
      <c r="K31" t="inlineStr">
        <is>
          <t>Cotar</t>
        </is>
      </c>
      <c r="L31" s="18">
        <f>IF(J31="","",J31+7)</f>
        <v/>
      </c>
      <c r="M31" s="11" t="n"/>
      <c r="N31" s="19" t="n"/>
      <c r="O31" s="11">
        <f>IF(OR(M31="",N31=""),"",M31*N31)</f>
        <v/>
      </c>
      <c r="P31" t="inlineStr">
        <is>
          <t>Armazém climatizado com vaults de madeira.</t>
        </is>
      </c>
    </row>
    <row r="32">
      <c r="A32" t="inlineStr">
        <is>
          <t>D06</t>
        </is>
      </c>
      <c r="B32" t="inlineStr">
        <is>
          <t>D-Parceiro armazenagem</t>
        </is>
      </c>
      <c r="C32" t="inlineStr">
        <is>
          <t>UNITS Moving and Portable Storage of Orlando</t>
        </is>
      </c>
      <c r="D32" t="inlineStr"/>
      <c r="E32" t="inlineStr">
        <is>
          <t>ver site</t>
        </is>
      </c>
      <c r="F32" t="inlineStr">
        <is>
          <t>https://unitsstorage.com/orlando-fl/warehouse-storage/</t>
        </is>
      </c>
      <c r="G32" t="inlineStr">
        <is>
          <t>2</t>
        </is>
      </c>
      <c r="H32" t="inlineStr">
        <is>
          <t>0-Identificado</t>
        </is>
      </c>
      <c r="I32" t="inlineStr">
        <is>
          <t>Renan</t>
        </is>
      </c>
      <c r="J32" s="18" t="n"/>
      <c r="K32" t="inlineStr">
        <is>
          <t>Cotar contêineres armazenados em armazém (alternativa a vault)</t>
        </is>
      </c>
      <c r="L32" s="18">
        <f>IF(J32="","",J32+7)</f>
        <v/>
      </c>
      <c r="M32" s="11" t="n"/>
      <c r="N32" s="19" t="n"/>
      <c r="O32" s="11">
        <f>IF(OR(M32="",N32=""),"",M32*N32)</f>
        <v/>
      </c>
      <c r="P32" t="inlineStr">
        <is>
          <t>Modelo de contêiner portátil.</t>
        </is>
      </c>
    </row>
    <row r="33">
      <c r="J33" s="18" t="n"/>
      <c r="L33" s="18">
        <f>IF(J33="","",J33+7)</f>
        <v/>
      </c>
      <c r="M33" s="11" t="n"/>
      <c r="N33" s="19" t="n"/>
      <c r="O33" s="11">
        <f>IF(OR(M33="",N33=""),"",M33*N33)</f>
        <v/>
      </c>
    </row>
    <row r="34">
      <c r="J34" s="18" t="n"/>
      <c r="L34" s="18">
        <f>IF(J34="","",J34+7)</f>
        <v/>
      </c>
      <c r="M34" s="11" t="n"/>
      <c r="N34" s="19" t="n"/>
      <c r="O34" s="11">
        <f>IF(OR(M34="",N34=""),"",M34*N34)</f>
        <v/>
      </c>
    </row>
    <row r="35">
      <c r="J35" s="18" t="n"/>
      <c r="L35" s="18">
        <f>IF(J35="","",J35+7)</f>
        <v/>
      </c>
      <c r="M35" s="11" t="n"/>
      <c r="N35" s="19" t="n"/>
      <c r="O35" s="11">
        <f>IF(OR(M35="",N35=""),"",M35*N35)</f>
        <v/>
      </c>
    </row>
    <row r="36">
      <c r="J36" s="18" t="n"/>
      <c r="L36" s="18">
        <f>IF(J36="","",J36+7)</f>
        <v/>
      </c>
      <c r="M36" s="11" t="n"/>
      <c r="N36" s="19" t="n"/>
      <c r="O36" s="11">
        <f>IF(OR(M36="",N36=""),"",M36*N36)</f>
        <v/>
      </c>
    </row>
    <row r="37">
      <c r="J37" s="18" t="n"/>
      <c r="L37" s="18">
        <f>IF(J37="","",J37+7)</f>
        <v/>
      </c>
      <c r="M37" s="11" t="n"/>
      <c r="N37" s="19" t="n"/>
      <c r="O37" s="11">
        <f>IF(OR(M37="",N37=""),"",M37*N37)</f>
        <v/>
      </c>
    </row>
    <row r="38">
      <c r="J38" s="18" t="n"/>
      <c r="L38" s="18">
        <f>IF(J38="","",J38+7)</f>
        <v/>
      </c>
      <c r="M38" s="11" t="n"/>
      <c r="N38" s="19" t="n"/>
      <c r="O38" s="11">
        <f>IF(OR(M38="",N38=""),"",M38*N38)</f>
        <v/>
      </c>
    </row>
    <row r="39">
      <c r="J39" s="18" t="n"/>
      <c r="L39" s="18">
        <f>IF(J39="","",J39+7)</f>
        <v/>
      </c>
      <c r="M39" s="11" t="n"/>
      <c r="N39" s="19" t="n"/>
      <c r="O39" s="11">
        <f>IF(OR(M39="",N39=""),"",M39*N39)</f>
        <v/>
      </c>
    </row>
    <row r="40">
      <c r="J40" s="18" t="n"/>
      <c r="L40" s="18">
        <f>IF(J40="","",J40+7)</f>
        <v/>
      </c>
      <c r="M40" s="11" t="n"/>
      <c r="N40" s="19" t="n"/>
      <c r="O40" s="11">
        <f>IF(OR(M40="",N40=""),"",M40*N40)</f>
        <v/>
      </c>
    </row>
    <row r="41">
      <c r="J41" s="18" t="n"/>
      <c r="L41" s="18">
        <f>IF(J41="","",J41+7)</f>
        <v/>
      </c>
      <c r="M41" s="11" t="n"/>
      <c r="N41" s="19" t="n"/>
      <c r="O41" s="11">
        <f>IF(OR(M41="",N41=""),"",M41*N41)</f>
        <v/>
      </c>
    </row>
    <row r="42">
      <c r="J42" s="18" t="n"/>
      <c r="L42" s="18">
        <f>IF(J42="","",J42+7)</f>
        <v/>
      </c>
      <c r="M42" s="11" t="n"/>
      <c r="N42" s="19" t="n"/>
      <c r="O42" s="11">
        <f>IF(OR(M42="",N42=""),"",M42*N42)</f>
        <v/>
      </c>
    </row>
    <row r="43">
      <c r="J43" s="18" t="n"/>
      <c r="L43" s="18">
        <f>IF(J43="","",J43+7)</f>
        <v/>
      </c>
      <c r="M43" s="11" t="n"/>
      <c r="N43" s="19" t="n"/>
      <c r="O43" s="11">
        <f>IF(OR(M43="",N43=""),"",M43*N43)</f>
        <v/>
      </c>
    </row>
    <row r="44">
      <c r="J44" s="18" t="n"/>
      <c r="L44" s="18">
        <f>IF(J44="","",J44+7)</f>
        <v/>
      </c>
      <c r="M44" s="11" t="n"/>
      <c r="N44" s="19" t="n"/>
      <c r="O44" s="11">
        <f>IF(OR(M44="",N44=""),"",M44*N44)</f>
        <v/>
      </c>
    </row>
    <row r="45">
      <c r="J45" s="18" t="n"/>
      <c r="L45" s="18">
        <f>IF(J45="","",J45+7)</f>
        <v/>
      </c>
      <c r="M45" s="11" t="n"/>
      <c r="N45" s="19" t="n"/>
      <c r="O45" s="11">
        <f>IF(OR(M45="",N45=""),"",M45*N45)</f>
        <v/>
      </c>
    </row>
    <row r="46">
      <c r="J46" s="18" t="n"/>
      <c r="L46" s="18">
        <f>IF(J46="","",J46+7)</f>
        <v/>
      </c>
      <c r="M46" s="11" t="n"/>
      <c r="N46" s="19" t="n"/>
      <c r="O46" s="11">
        <f>IF(OR(M46="",N46=""),"",M46*N46)</f>
        <v/>
      </c>
    </row>
    <row r="47">
      <c r="J47" s="18" t="n"/>
      <c r="L47" s="18">
        <f>IF(J47="","",J47+7)</f>
        <v/>
      </c>
      <c r="M47" s="11" t="n"/>
      <c r="N47" s="19" t="n"/>
      <c r="O47" s="11">
        <f>IF(OR(M47="",N47=""),"",M47*N47)</f>
        <v/>
      </c>
    </row>
    <row r="48">
      <c r="J48" s="18" t="n"/>
      <c r="L48" s="18">
        <f>IF(J48="","",J48+7)</f>
        <v/>
      </c>
      <c r="M48" s="11" t="n"/>
      <c r="N48" s="19" t="n"/>
      <c r="O48" s="11">
        <f>IF(OR(M48="",N48=""),"",M48*N48)</f>
        <v/>
      </c>
    </row>
    <row r="49">
      <c r="J49" s="18" t="n"/>
      <c r="L49" s="18">
        <f>IF(J49="","",J49+7)</f>
        <v/>
      </c>
      <c r="M49" s="11" t="n"/>
      <c r="N49" s="19" t="n"/>
      <c r="O49" s="11">
        <f>IF(OR(M49="",N49=""),"",M49*N49)</f>
        <v/>
      </c>
    </row>
    <row r="50">
      <c r="J50" s="18" t="n"/>
      <c r="L50" s="18">
        <f>IF(J50="","",J50+7)</f>
        <v/>
      </c>
      <c r="M50" s="11" t="n"/>
      <c r="N50" s="19" t="n"/>
      <c r="O50" s="11">
        <f>IF(OR(M50="",N50=""),"",M50*N50)</f>
        <v/>
      </c>
    </row>
    <row r="51">
      <c r="J51" s="18" t="n"/>
      <c r="L51" s="18">
        <f>IF(J51="","",J51+7)</f>
        <v/>
      </c>
      <c r="M51" s="11" t="n"/>
      <c r="N51" s="19" t="n"/>
      <c r="O51" s="11">
        <f>IF(OR(M51="",N51=""),"",M51*N51)</f>
        <v/>
      </c>
    </row>
    <row r="52">
      <c r="J52" s="18" t="n"/>
      <c r="L52" s="18">
        <f>IF(J52="","",J52+7)</f>
        <v/>
      </c>
      <c r="M52" s="11" t="n"/>
      <c r="N52" s="19" t="n"/>
      <c r="O52" s="11">
        <f>IF(OR(M52="",N52=""),"",M52*N52)</f>
        <v/>
      </c>
    </row>
    <row r="53">
      <c r="J53" s="18" t="n"/>
      <c r="L53" s="18">
        <f>IF(J53="","",J53+7)</f>
        <v/>
      </c>
      <c r="M53" s="11" t="n"/>
      <c r="N53" s="19" t="n"/>
      <c r="O53" s="11">
        <f>IF(OR(M53="",N53=""),"",M53*N53)</f>
        <v/>
      </c>
    </row>
    <row r="54">
      <c r="J54" s="18" t="n"/>
      <c r="L54" s="18">
        <f>IF(J54="","",J54+7)</f>
        <v/>
      </c>
      <c r="M54" s="11" t="n"/>
      <c r="N54" s="19" t="n"/>
      <c r="O54" s="11">
        <f>IF(OR(M54="",N54=""),"",M54*N54)</f>
        <v/>
      </c>
    </row>
    <row r="55">
      <c r="J55" s="18" t="n"/>
      <c r="L55" s="18">
        <f>IF(J55="","",J55+7)</f>
        <v/>
      </c>
      <c r="M55" s="11" t="n"/>
      <c r="N55" s="19" t="n"/>
      <c r="O55" s="11">
        <f>IF(OR(M55="",N55=""),"",M55*N55)</f>
        <v/>
      </c>
    </row>
    <row r="56">
      <c r="J56" s="18" t="n"/>
      <c r="L56" s="18">
        <f>IF(J56="","",J56+7)</f>
        <v/>
      </c>
      <c r="M56" s="11" t="n"/>
      <c r="N56" s="19" t="n"/>
      <c r="O56" s="11">
        <f>IF(OR(M56="",N56=""),"",M56*N56)</f>
        <v/>
      </c>
    </row>
    <row r="57">
      <c r="J57" s="18" t="n"/>
      <c r="L57" s="18">
        <f>IF(J57="","",J57+7)</f>
        <v/>
      </c>
      <c r="M57" s="11" t="n"/>
      <c r="N57" s="19" t="n"/>
      <c r="O57" s="11">
        <f>IF(OR(M57="",N57=""),"",M57*N57)</f>
        <v/>
      </c>
    </row>
    <row r="58">
      <c r="J58" s="18" t="n"/>
      <c r="L58" s="18">
        <f>IF(J58="","",J58+7)</f>
        <v/>
      </c>
      <c r="M58" s="11" t="n"/>
      <c r="N58" s="19" t="n"/>
      <c r="O58" s="11">
        <f>IF(OR(M58="",N58=""),"",M58*N58)</f>
        <v/>
      </c>
    </row>
    <row r="59">
      <c r="J59" s="18" t="n"/>
      <c r="L59" s="18">
        <f>IF(J59="","",J59+7)</f>
        <v/>
      </c>
      <c r="M59" s="11" t="n"/>
      <c r="N59" s="19" t="n"/>
      <c r="O59" s="11">
        <f>IF(OR(M59="",N59=""),"",M59*N59)</f>
        <v/>
      </c>
    </row>
    <row r="60">
      <c r="J60" s="18" t="n"/>
      <c r="L60" s="18">
        <f>IF(J60="","",J60+7)</f>
        <v/>
      </c>
      <c r="M60" s="11" t="n"/>
      <c r="N60" s="19" t="n"/>
      <c r="O60" s="11">
        <f>IF(OR(M60="",N60=""),"",M60*N60)</f>
        <v/>
      </c>
    </row>
    <row r="61">
      <c r="J61" s="18" t="n"/>
      <c r="L61" s="18">
        <f>IF(J61="","",J61+7)</f>
        <v/>
      </c>
      <c r="M61" s="11" t="n"/>
      <c r="N61" s="19" t="n"/>
      <c r="O61" s="11">
        <f>IF(OR(M61="",N61=""),"",M61*N61)</f>
        <v/>
      </c>
    </row>
    <row r="62">
      <c r="J62" s="18" t="n"/>
      <c r="L62" s="18">
        <f>IF(J62="","",J62+7)</f>
        <v/>
      </c>
      <c r="M62" s="11" t="n"/>
      <c r="N62" s="19" t="n"/>
      <c r="O62" s="11">
        <f>IF(OR(M62="",N62=""),"",M62*N62)</f>
        <v/>
      </c>
    </row>
    <row r="63">
      <c r="J63" s="18" t="n"/>
      <c r="L63" s="18">
        <f>IF(J63="","",J63+7)</f>
        <v/>
      </c>
      <c r="M63" s="11" t="n"/>
      <c r="N63" s="19" t="n"/>
      <c r="O63" s="11">
        <f>IF(OR(M63="",N63=""),"",M63*N63)</f>
        <v/>
      </c>
    </row>
    <row r="64">
      <c r="J64" s="18" t="n"/>
      <c r="L64" s="18">
        <f>IF(J64="","",J64+7)</f>
        <v/>
      </c>
      <c r="M64" s="11" t="n"/>
      <c r="N64" s="19" t="n"/>
      <c r="O64" s="11">
        <f>IF(OR(M64="",N64=""),"",M64*N64)</f>
        <v/>
      </c>
    </row>
    <row r="65">
      <c r="J65" s="18" t="n"/>
      <c r="L65" s="18">
        <f>IF(J65="","",J65+7)</f>
        <v/>
      </c>
      <c r="M65" s="11" t="n"/>
      <c r="N65" s="19" t="n"/>
      <c r="O65" s="11">
        <f>IF(OR(M65="",N65=""),"",M65*N65)</f>
        <v/>
      </c>
    </row>
    <row r="66">
      <c r="J66" s="18" t="n"/>
      <c r="L66" s="18">
        <f>IF(J66="","",J66+7)</f>
        <v/>
      </c>
      <c r="M66" s="11" t="n"/>
      <c r="N66" s="19" t="n"/>
      <c r="O66" s="11">
        <f>IF(OR(M66="",N66=""),"",M66*N66)</f>
        <v/>
      </c>
    </row>
    <row r="67">
      <c r="J67" s="18" t="n"/>
      <c r="L67" s="18">
        <f>IF(J67="","",J67+7)</f>
        <v/>
      </c>
      <c r="M67" s="11" t="n"/>
      <c r="N67" s="19" t="n"/>
      <c r="O67" s="11">
        <f>IF(OR(M67="",N67=""),"",M67*N67)</f>
        <v/>
      </c>
    </row>
    <row r="68">
      <c r="J68" s="18" t="n"/>
      <c r="L68" s="18">
        <f>IF(J68="","",J68+7)</f>
        <v/>
      </c>
      <c r="M68" s="11" t="n"/>
      <c r="N68" s="19" t="n"/>
      <c r="O68" s="11">
        <f>IF(OR(M68="",N68=""),"",M68*N68)</f>
        <v/>
      </c>
    </row>
    <row r="69">
      <c r="J69" s="18" t="n"/>
      <c r="L69" s="18">
        <f>IF(J69="","",J69+7)</f>
        <v/>
      </c>
      <c r="M69" s="11" t="n"/>
      <c r="N69" s="19" t="n"/>
      <c r="O69" s="11">
        <f>IF(OR(M69="",N69=""),"",M69*N69)</f>
        <v/>
      </c>
    </row>
    <row r="70">
      <c r="J70" s="18" t="n"/>
      <c r="L70" s="18">
        <f>IF(J70="","",J70+7)</f>
        <v/>
      </c>
      <c r="M70" s="11" t="n"/>
      <c r="N70" s="19" t="n"/>
      <c r="O70" s="11">
        <f>IF(OR(M70="",N70=""),"",M70*N70)</f>
        <v/>
      </c>
    </row>
    <row r="71">
      <c r="J71" s="18" t="n"/>
      <c r="L71" s="18">
        <f>IF(J71="","",J71+7)</f>
        <v/>
      </c>
      <c r="M71" s="11" t="n"/>
      <c r="N71" s="19" t="n"/>
      <c r="O71" s="11">
        <f>IF(OR(M71="",N71=""),"",M71*N71)</f>
        <v/>
      </c>
    </row>
    <row r="72">
      <c r="J72" s="18" t="n"/>
      <c r="L72" s="18">
        <f>IF(J72="","",J72+7)</f>
        <v/>
      </c>
      <c r="M72" s="11" t="n"/>
      <c r="N72" s="19" t="n"/>
      <c r="O72" s="11">
        <f>IF(OR(M72="",N72=""),"",M72*N72)</f>
        <v/>
      </c>
    </row>
    <row r="73">
      <c r="J73" s="18" t="n"/>
      <c r="L73" s="18">
        <f>IF(J73="","",J73+7)</f>
        <v/>
      </c>
      <c r="M73" s="11" t="n"/>
      <c r="N73" s="19" t="n"/>
      <c r="O73" s="11">
        <f>IF(OR(M73="",N73=""),"",M73*N73)</f>
        <v/>
      </c>
    </row>
    <row r="74">
      <c r="J74" s="18" t="n"/>
      <c r="L74" s="18">
        <f>IF(J74="","",J74+7)</f>
        <v/>
      </c>
      <c r="M74" s="11" t="n"/>
      <c r="N74" s="19" t="n"/>
      <c r="O74" s="11">
        <f>IF(OR(M74="",N74=""),"",M74*N74)</f>
        <v/>
      </c>
    </row>
    <row r="75">
      <c r="J75" s="18" t="n"/>
      <c r="L75" s="18">
        <f>IF(J75="","",J75+7)</f>
        <v/>
      </c>
      <c r="M75" s="11" t="n"/>
      <c r="N75" s="19" t="n"/>
      <c r="O75" s="11">
        <f>IF(OR(M75="",N75=""),"",M75*N75)</f>
        <v/>
      </c>
    </row>
    <row r="76">
      <c r="J76" s="18" t="n"/>
      <c r="L76" s="18">
        <f>IF(J76="","",J76+7)</f>
        <v/>
      </c>
      <c r="M76" s="11" t="n"/>
      <c r="N76" s="19" t="n"/>
      <c r="O76" s="11">
        <f>IF(OR(M76="",N76=""),"",M76*N76)</f>
        <v/>
      </c>
    </row>
    <row r="77">
      <c r="J77" s="18" t="n"/>
      <c r="L77" s="18">
        <f>IF(J77="","",J77+7)</f>
        <v/>
      </c>
      <c r="M77" s="11" t="n"/>
      <c r="N77" s="19" t="n"/>
      <c r="O77" s="11">
        <f>IF(OR(M77="",N77=""),"",M77*N77)</f>
        <v/>
      </c>
    </row>
    <row r="78">
      <c r="J78" s="18" t="n"/>
      <c r="L78" s="18">
        <f>IF(J78="","",J78+7)</f>
        <v/>
      </c>
      <c r="M78" s="11" t="n"/>
      <c r="N78" s="19" t="n"/>
      <c r="O78" s="11">
        <f>IF(OR(M78="",N78=""),"",M78*N78)</f>
        <v/>
      </c>
    </row>
    <row r="79">
      <c r="J79" s="18" t="n"/>
      <c r="L79" s="18">
        <f>IF(J79="","",J79+7)</f>
        <v/>
      </c>
      <c r="M79" s="11" t="n"/>
      <c r="N79" s="19" t="n"/>
      <c r="O79" s="11">
        <f>IF(OR(M79="",N79=""),"",M79*N79)</f>
        <v/>
      </c>
    </row>
    <row r="80">
      <c r="J80" s="18" t="n"/>
      <c r="L80" s="18">
        <f>IF(J80="","",J80+7)</f>
        <v/>
      </c>
      <c r="M80" s="11" t="n"/>
      <c r="N80" s="19" t="n"/>
      <c r="O80" s="11">
        <f>IF(OR(M80="",N80=""),"",M80*N80)</f>
        <v/>
      </c>
    </row>
    <row r="81">
      <c r="J81" s="18" t="n"/>
      <c r="L81" s="18">
        <f>IF(J81="","",J81+7)</f>
        <v/>
      </c>
      <c r="M81" s="11" t="n"/>
      <c r="N81" s="19" t="n"/>
      <c r="O81" s="11">
        <f>IF(OR(M81="",N81=""),"",M81*N81)</f>
        <v/>
      </c>
    </row>
    <row r="82">
      <c r="J82" s="18" t="n"/>
      <c r="L82" s="18">
        <f>IF(J82="","",J82+7)</f>
        <v/>
      </c>
      <c r="M82" s="11" t="n"/>
      <c r="N82" s="19" t="n"/>
      <c r="O82" s="11">
        <f>IF(OR(M82="",N82=""),"",M82*N82)</f>
        <v/>
      </c>
    </row>
    <row r="83">
      <c r="J83" s="18" t="n"/>
      <c r="L83" s="18">
        <f>IF(J83="","",J83+7)</f>
        <v/>
      </c>
      <c r="M83" s="11" t="n"/>
      <c r="N83" s="19" t="n"/>
      <c r="O83" s="11">
        <f>IF(OR(M83="",N83=""),"",M83*N83)</f>
        <v/>
      </c>
    </row>
    <row r="84">
      <c r="J84" s="18" t="n"/>
      <c r="L84" s="18">
        <f>IF(J84="","",J84+7)</f>
        <v/>
      </c>
      <c r="M84" s="11" t="n"/>
      <c r="N84" s="19" t="n"/>
      <c r="O84" s="11">
        <f>IF(OR(M84="",N84=""),"",M84*N84)</f>
        <v/>
      </c>
    </row>
    <row r="85">
      <c r="J85" s="18" t="n"/>
      <c r="L85" s="18">
        <f>IF(J85="","",J85+7)</f>
        <v/>
      </c>
      <c r="M85" s="11" t="n"/>
      <c r="N85" s="19" t="n"/>
      <c r="O85" s="11">
        <f>IF(OR(M85="",N85=""),"",M85*N85)</f>
        <v/>
      </c>
    </row>
    <row r="86">
      <c r="J86" s="18" t="n"/>
      <c r="L86" s="18">
        <f>IF(J86="","",J86+7)</f>
        <v/>
      </c>
      <c r="M86" s="11" t="n"/>
      <c r="N86" s="19" t="n"/>
      <c r="O86" s="11">
        <f>IF(OR(M86="",N86=""),"",M86*N86)</f>
        <v/>
      </c>
    </row>
    <row r="87">
      <c r="J87" s="18" t="n"/>
      <c r="L87" s="18">
        <f>IF(J87="","",J87+7)</f>
        <v/>
      </c>
      <c r="M87" s="11" t="n"/>
      <c r="N87" s="19" t="n"/>
      <c r="O87" s="11">
        <f>IF(OR(M87="",N87=""),"",M87*N87)</f>
        <v/>
      </c>
    </row>
    <row r="88">
      <c r="J88" s="18" t="n"/>
      <c r="L88" s="18">
        <f>IF(J88="","",J88+7)</f>
        <v/>
      </c>
      <c r="M88" s="11" t="n"/>
      <c r="N88" s="19" t="n"/>
      <c r="O88" s="11">
        <f>IF(OR(M88="",N88=""),"",M88*N88)</f>
        <v/>
      </c>
    </row>
    <row r="89">
      <c r="J89" s="18" t="n"/>
      <c r="L89" s="18">
        <f>IF(J89="","",J89+7)</f>
        <v/>
      </c>
      <c r="M89" s="11" t="n"/>
      <c r="N89" s="19" t="n"/>
      <c r="O89" s="11">
        <f>IF(OR(M89="",N89=""),"",M89*N89)</f>
        <v/>
      </c>
    </row>
    <row r="90">
      <c r="J90" s="18" t="n"/>
      <c r="L90" s="18">
        <f>IF(J90="","",J90+7)</f>
        <v/>
      </c>
      <c r="M90" s="11" t="n"/>
      <c r="N90" s="19" t="n"/>
      <c r="O90" s="11">
        <f>IF(OR(M90="",N90=""),"",M90*N90)</f>
        <v/>
      </c>
    </row>
    <row r="91">
      <c r="J91" s="18" t="n"/>
      <c r="L91" s="18">
        <f>IF(J91="","",J91+7)</f>
        <v/>
      </c>
      <c r="M91" s="11" t="n"/>
      <c r="N91" s="19" t="n"/>
      <c r="O91" s="11">
        <f>IF(OR(M91="",N91=""),"",M91*N91)</f>
        <v/>
      </c>
    </row>
    <row r="92">
      <c r="J92" s="18" t="n"/>
      <c r="L92" s="18">
        <f>IF(J92="","",J92+7)</f>
        <v/>
      </c>
      <c r="M92" s="11" t="n"/>
      <c r="N92" s="19" t="n"/>
      <c r="O92" s="11">
        <f>IF(OR(M92="",N92=""),"",M92*N92)</f>
        <v/>
      </c>
    </row>
    <row r="93">
      <c r="J93" s="18" t="n"/>
      <c r="L93" s="18">
        <f>IF(J93="","",J93+7)</f>
        <v/>
      </c>
      <c r="M93" s="11" t="n"/>
      <c r="N93" s="19" t="n"/>
      <c r="O93" s="11">
        <f>IF(OR(M93="",N93=""),"",M93*N93)</f>
        <v/>
      </c>
    </row>
    <row r="94">
      <c r="J94" s="18" t="n"/>
      <c r="L94" s="18">
        <f>IF(J94="","",J94+7)</f>
        <v/>
      </c>
      <c r="M94" s="11" t="n"/>
      <c r="N94" s="19" t="n"/>
      <c r="O94" s="11">
        <f>IF(OR(M94="",N94=""),"",M94*N94)</f>
        <v/>
      </c>
    </row>
    <row r="95">
      <c r="J95" s="18" t="n"/>
      <c r="L95" s="18">
        <f>IF(J95="","",J95+7)</f>
        <v/>
      </c>
      <c r="M95" s="11" t="n"/>
      <c r="N95" s="19" t="n"/>
      <c r="O95" s="11">
        <f>IF(OR(M95="",N95=""),"",M95*N95)</f>
        <v/>
      </c>
    </row>
    <row r="96">
      <c r="J96" s="18" t="n"/>
      <c r="L96" s="18">
        <f>IF(J96="","",J96+7)</f>
        <v/>
      </c>
      <c r="M96" s="11" t="n"/>
      <c r="N96" s="19" t="n"/>
      <c r="O96" s="11">
        <f>IF(OR(M96="",N96=""),"",M96*N96)</f>
        <v/>
      </c>
    </row>
    <row r="97">
      <c r="J97" s="18" t="n"/>
      <c r="L97" s="18">
        <f>IF(J97="","",J97+7)</f>
        <v/>
      </c>
      <c r="M97" s="11" t="n"/>
      <c r="N97" s="19" t="n"/>
      <c r="O97" s="11">
        <f>IF(OR(M97="",N97=""),"",M97*N97)</f>
        <v/>
      </c>
    </row>
    <row r="98">
      <c r="J98" s="18" t="n"/>
      <c r="L98" s="18">
        <f>IF(J98="","",J98+7)</f>
        <v/>
      </c>
      <c r="M98" s="11" t="n"/>
      <c r="N98" s="19" t="n"/>
      <c r="O98" s="11">
        <f>IF(OR(M98="",N98=""),"",M98*N98)</f>
        <v/>
      </c>
    </row>
    <row r="99">
      <c r="J99" s="18" t="n"/>
      <c r="L99" s="18">
        <f>IF(J99="","",J99+7)</f>
        <v/>
      </c>
      <c r="M99" s="11" t="n"/>
      <c r="N99" s="19" t="n"/>
      <c r="O99" s="11">
        <f>IF(OR(M99="",N99=""),"",M99*N99)</f>
        <v/>
      </c>
    </row>
    <row r="100">
      <c r="J100" s="18" t="n"/>
      <c r="L100" s="18">
        <f>IF(J100="","",J100+7)</f>
        <v/>
      </c>
      <c r="M100" s="11" t="n"/>
      <c r="N100" s="19" t="n"/>
      <c r="O100" s="11">
        <f>IF(OR(M100="",N100=""),"",M100*N100)</f>
        <v/>
      </c>
    </row>
    <row r="101">
      <c r="J101" s="18" t="n"/>
      <c r="L101" s="18">
        <f>IF(J101="","",J101+7)</f>
        <v/>
      </c>
      <c r="M101" s="11" t="n"/>
      <c r="N101" s="19" t="n"/>
      <c r="O101" s="11">
        <f>IF(OR(M101="",N101=""),"",M101*N101)</f>
        <v/>
      </c>
    </row>
    <row r="102">
      <c r="J102" s="18" t="n"/>
      <c r="L102" s="18">
        <f>IF(J102="","",J102+7)</f>
        <v/>
      </c>
      <c r="M102" s="11" t="n"/>
      <c r="N102" s="19" t="n"/>
      <c r="O102" s="11">
        <f>IF(OR(M102="",N102=""),"",M102*N102)</f>
        <v/>
      </c>
    </row>
    <row r="103">
      <c r="J103" s="18" t="n"/>
      <c r="L103" s="18">
        <f>IF(J103="","",J103+7)</f>
        <v/>
      </c>
      <c r="M103" s="11" t="n"/>
      <c r="N103" s="19" t="n"/>
      <c r="O103" s="11">
        <f>IF(OR(M103="",N103=""),"",M103*N103)</f>
        <v/>
      </c>
    </row>
    <row r="104">
      <c r="J104" s="18" t="n"/>
      <c r="L104" s="18">
        <f>IF(J104="","",J104+7)</f>
        <v/>
      </c>
      <c r="M104" s="11" t="n"/>
      <c r="N104" s="19" t="n"/>
      <c r="O104" s="11">
        <f>IF(OR(M104="",N104=""),"",M104*N104)</f>
        <v/>
      </c>
    </row>
    <row r="105">
      <c r="J105" s="18" t="n"/>
      <c r="L105" s="18">
        <f>IF(J105="","",J105+7)</f>
        <v/>
      </c>
      <c r="M105" s="11" t="n"/>
      <c r="N105" s="19" t="n"/>
      <c r="O105" s="11">
        <f>IF(OR(M105="",N105=""),"",M105*N105)</f>
        <v/>
      </c>
    </row>
    <row r="106">
      <c r="J106" s="18" t="n"/>
      <c r="L106" s="18">
        <f>IF(J106="","",J106+7)</f>
        <v/>
      </c>
      <c r="M106" s="11" t="n"/>
      <c r="N106" s="19" t="n"/>
      <c r="O106" s="11">
        <f>IF(OR(M106="",N106=""),"",M106*N106)</f>
        <v/>
      </c>
    </row>
    <row r="107">
      <c r="J107" s="18" t="n"/>
      <c r="L107" s="18">
        <f>IF(J107="","",J107+7)</f>
        <v/>
      </c>
      <c r="M107" s="11" t="n"/>
      <c r="N107" s="19" t="n"/>
      <c r="O107" s="11">
        <f>IF(OR(M107="",N107=""),"",M107*N107)</f>
        <v/>
      </c>
    </row>
    <row r="108">
      <c r="J108" s="18" t="n"/>
      <c r="L108" s="18">
        <f>IF(J108="","",J108+7)</f>
        <v/>
      </c>
      <c r="M108" s="11" t="n"/>
      <c r="N108" s="19" t="n"/>
      <c r="O108" s="11">
        <f>IF(OR(M108="",N108=""),"",M108*N108)</f>
        <v/>
      </c>
    </row>
    <row r="109">
      <c r="J109" s="18" t="n"/>
      <c r="L109" s="18">
        <f>IF(J109="","",J109+7)</f>
        <v/>
      </c>
      <c r="M109" s="11" t="n"/>
      <c r="N109" s="19" t="n"/>
      <c r="O109" s="11">
        <f>IF(OR(M109="",N109=""),"",M109*N109)</f>
        <v/>
      </c>
    </row>
    <row r="110">
      <c r="J110" s="18" t="n"/>
      <c r="L110" s="18">
        <f>IF(J110="","",J110+7)</f>
        <v/>
      </c>
      <c r="M110" s="11" t="n"/>
      <c r="N110" s="19" t="n"/>
      <c r="O110" s="11">
        <f>IF(OR(M110="",N110=""),"",M110*N110)</f>
        <v/>
      </c>
    </row>
    <row r="111">
      <c r="J111" s="18" t="n"/>
      <c r="L111" s="18">
        <f>IF(J111="","",J111+7)</f>
        <v/>
      </c>
      <c r="M111" s="11" t="n"/>
      <c r="N111" s="19" t="n"/>
      <c r="O111" s="11">
        <f>IF(OR(M111="",N111=""),"",M111*N111)</f>
        <v/>
      </c>
    </row>
    <row r="112">
      <c r="J112" s="18" t="n"/>
      <c r="L112" s="18">
        <f>IF(J112="","",J112+7)</f>
        <v/>
      </c>
      <c r="M112" s="11" t="n"/>
      <c r="N112" s="19" t="n"/>
      <c r="O112" s="11">
        <f>IF(OR(M112="",N112=""),"",M112*N112)</f>
        <v/>
      </c>
    </row>
    <row r="113">
      <c r="J113" s="18" t="n"/>
      <c r="L113" s="18">
        <f>IF(J113="","",J113+7)</f>
        <v/>
      </c>
      <c r="M113" s="11" t="n"/>
      <c r="N113" s="19" t="n"/>
      <c r="O113" s="11">
        <f>IF(OR(M113="",N113=""),"",M113*N113)</f>
        <v/>
      </c>
    </row>
    <row r="114">
      <c r="J114" s="18" t="n"/>
      <c r="L114" s="18">
        <f>IF(J114="","",J114+7)</f>
        <v/>
      </c>
      <c r="M114" s="11" t="n"/>
      <c r="N114" s="19" t="n"/>
      <c r="O114" s="11">
        <f>IF(OR(M114="",N114=""),"",M114*N114)</f>
        <v/>
      </c>
    </row>
    <row r="115">
      <c r="J115" s="18" t="n"/>
      <c r="L115" s="18">
        <f>IF(J115="","",J115+7)</f>
        <v/>
      </c>
      <c r="M115" s="11" t="n"/>
      <c r="N115" s="19" t="n"/>
      <c r="O115" s="11">
        <f>IF(OR(M115="",N115=""),"",M115*N115)</f>
        <v/>
      </c>
    </row>
    <row r="116">
      <c r="J116" s="18" t="n"/>
      <c r="L116" s="18">
        <f>IF(J116="","",J116+7)</f>
        <v/>
      </c>
      <c r="M116" s="11" t="n"/>
      <c r="N116" s="19" t="n"/>
      <c r="O116" s="11">
        <f>IF(OR(M116="",N116=""),"",M116*N116)</f>
        <v/>
      </c>
    </row>
    <row r="117">
      <c r="J117" s="18" t="n"/>
      <c r="L117" s="18">
        <f>IF(J117="","",J117+7)</f>
        <v/>
      </c>
      <c r="M117" s="11" t="n"/>
      <c r="N117" s="19" t="n"/>
      <c r="O117" s="11">
        <f>IF(OR(M117="",N117=""),"",M117*N117)</f>
        <v/>
      </c>
    </row>
    <row r="118">
      <c r="J118" s="18" t="n"/>
      <c r="L118" s="18">
        <f>IF(J118="","",J118+7)</f>
        <v/>
      </c>
      <c r="M118" s="11" t="n"/>
      <c r="N118" s="19" t="n"/>
      <c r="O118" s="11">
        <f>IF(OR(M118="",N118=""),"",M118*N118)</f>
        <v/>
      </c>
    </row>
    <row r="119">
      <c r="J119" s="18" t="n"/>
      <c r="L119" s="18">
        <f>IF(J119="","",J119+7)</f>
        <v/>
      </c>
      <c r="M119" s="11" t="n"/>
      <c r="N119" s="19" t="n"/>
      <c r="O119" s="11">
        <f>IF(OR(M119="",N119=""),"",M119*N119)</f>
        <v/>
      </c>
    </row>
    <row r="120">
      <c r="J120" s="18" t="n"/>
      <c r="L120" s="18">
        <f>IF(J120="","",J120+7)</f>
        <v/>
      </c>
      <c r="M120" s="11" t="n"/>
      <c r="N120" s="19" t="n"/>
      <c r="O120" s="11">
        <f>IF(OR(M120="",N120=""),"",M120*N120)</f>
        <v/>
      </c>
    </row>
    <row r="121">
      <c r="J121" s="18" t="n"/>
      <c r="L121" s="18">
        <f>IF(J121="","",J121+7)</f>
        <v/>
      </c>
      <c r="M121" s="11" t="n"/>
      <c r="N121" s="19" t="n"/>
      <c r="O121" s="11">
        <f>IF(OR(M121="",N121=""),"",M121*N121)</f>
        <v/>
      </c>
    </row>
    <row r="122">
      <c r="J122" s="18" t="n"/>
      <c r="L122" s="18">
        <f>IF(J122="","",J122+7)</f>
        <v/>
      </c>
      <c r="M122" s="11" t="n"/>
      <c r="N122" s="19" t="n"/>
      <c r="O122" s="11">
        <f>IF(OR(M122="",N122=""),"",M122*N122)</f>
        <v/>
      </c>
    </row>
    <row r="123">
      <c r="J123" s="18" t="n"/>
      <c r="L123" s="18">
        <f>IF(J123="","",J123+7)</f>
        <v/>
      </c>
      <c r="M123" s="11" t="n"/>
      <c r="N123" s="19" t="n"/>
      <c r="O123" s="11">
        <f>IF(OR(M123="",N123=""),"",M123*N123)</f>
        <v/>
      </c>
    </row>
    <row r="124">
      <c r="J124" s="18" t="n"/>
      <c r="L124" s="18">
        <f>IF(J124="","",J124+7)</f>
        <v/>
      </c>
      <c r="M124" s="11" t="n"/>
      <c r="N124" s="19" t="n"/>
      <c r="O124" s="11">
        <f>IF(OR(M124="",N124=""),"",M124*N124)</f>
        <v/>
      </c>
    </row>
    <row r="125">
      <c r="J125" s="18" t="n"/>
      <c r="L125" s="18">
        <f>IF(J125="","",J125+7)</f>
        <v/>
      </c>
      <c r="M125" s="11" t="n"/>
      <c r="N125" s="19" t="n"/>
      <c r="O125" s="11">
        <f>IF(OR(M125="",N125=""),"",M125*N125)</f>
        <v/>
      </c>
    </row>
    <row r="126">
      <c r="J126" s="18" t="n"/>
      <c r="L126" s="18">
        <f>IF(J126="","",J126+7)</f>
        <v/>
      </c>
      <c r="M126" s="11" t="n"/>
      <c r="N126" s="19" t="n"/>
      <c r="O126" s="11">
        <f>IF(OR(M126="",N126=""),"",M126*N126)</f>
        <v/>
      </c>
    </row>
    <row r="127">
      <c r="J127" s="18" t="n"/>
      <c r="L127" s="18">
        <f>IF(J127="","",J127+7)</f>
        <v/>
      </c>
      <c r="M127" s="11" t="n"/>
      <c r="N127" s="19" t="n"/>
      <c r="O127" s="11">
        <f>IF(OR(M127="",N127=""),"",M127*N127)</f>
        <v/>
      </c>
    </row>
    <row r="128">
      <c r="J128" s="18" t="n"/>
      <c r="L128" s="18">
        <f>IF(J128="","",J128+7)</f>
        <v/>
      </c>
      <c r="M128" s="11" t="n"/>
      <c r="N128" s="19" t="n"/>
      <c r="O128" s="11">
        <f>IF(OR(M128="",N128=""),"",M128*N128)</f>
        <v/>
      </c>
    </row>
    <row r="129">
      <c r="J129" s="18" t="n"/>
      <c r="L129" s="18">
        <f>IF(J129="","",J129+7)</f>
        <v/>
      </c>
      <c r="M129" s="11" t="n"/>
      <c r="N129" s="19" t="n"/>
      <c r="O129" s="11">
        <f>IF(OR(M129="",N129=""),"",M129*N129)</f>
        <v/>
      </c>
    </row>
    <row r="130">
      <c r="J130" s="18" t="n"/>
      <c r="L130" s="18">
        <f>IF(J130="","",J130+7)</f>
        <v/>
      </c>
      <c r="M130" s="11" t="n"/>
      <c r="N130" s="19" t="n"/>
      <c r="O130" s="11">
        <f>IF(OR(M130="",N130=""),"",M130*N130)</f>
        <v/>
      </c>
    </row>
    <row r="131">
      <c r="J131" s="18" t="n"/>
      <c r="L131" s="18">
        <f>IF(J131="","",J131+7)</f>
        <v/>
      </c>
      <c r="M131" s="11" t="n"/>
      <c r="N131" s="19" t="n"/>
      <c r="O131" s="11">
        <f>IF(OR(M131="",N131=""),"",M131*N131)</f>
        <v/>
      </c>
    </row>
    <row r="132">
      <c r="J132" s="18" t="n"/>
      <c r="L132" s="18">
        <f>IF(J132="","",J132+7)</f>
        <v/>
      </c>
      <c r="M132" s="11" t="n"/>
      <c r="N132" s="19" t="n"/>
      <c r="O132" s="11">
        <f>IF(OR(M132="",N132=""),"",M132*N132)</f>
        <v/>
      </c>
    </row>
    <row r="133">
      <c r="J133" s="18" t="n"/>
      <c r="L133" s="18">
        <f>IF(J133="","",J133+7)</f>
        <v/>
      </c>
      <c r="M133" s="11" t="n"/>
      <c r="N133" s="19" t="n"/>
      <c r="O133" s="11">
        <f>IF(OR(M133="",N133=""),"",M133*N133)</f>
        <v/>
      </c>
    </row>
    <row r="134">
      <c r="J134" s="18" t="n"/>
      <c r="L134" s="18">
        <f>IF(J134="","",J134+7)</f>
        <v/>
      </c>
      <c r="M134" s="11" t="n"/>
      <c r="N134" s="19" t="n"/>
      <c r="O134" s="11">
        <f>IF(OR(M134="",N134=""),"",M134*N134)</f>
        <v/>
      </c>
    </row>
    <row r="135">
      <c r="J135" s="18" t="n"/>
      <c r="L135" s="18">
        <f>IF(J135="","",J135+7)</f>
        <v/>
      </c>
      <c r="M135" s="11" t="n"/>
      <c r="N135" s="19" t="n"/>
      <c r="O135" s="11">
        <f>IF(OR(M135="",N135=""),"",M135*N135)</f>
        <v/>
      </c>
    </row>
    <row r="136">
      <c r="J136" s="18" t="n"/>
      <c r="L136" s="18">
        <f>IF(J136="","",J136+7)</f>
        <v/>
      </c>
      <c r="M136" s="11" t="n"/>
      <c r="N136" s="19" t="n"/>
      <c r="O136" s="11">
        <f>IF(OR(M136="",N136=""),"",M136*N136)</f>
        <v/>
      </c>
    </row>
    <row r="137">
      <c r="J137" s="18" t="n"/>
      <c r="L137" s="18">
        <f>IF(J137="","",J137+7)</f>
        <v/>
      </c>
      <c r="M137" s="11" t="n"/>
      <c r="N137" s="19" t="n"/>
      <c r="O137" s="11">
        <f>IF(OR(M137="",N137=""),"",M137*N137)</f>
        <v/>
      </c>
    </row>
    <row r="138">
      <c r="J138" s="18" t="n"/>
      <c r="L138" s="18">
        <f>IF(J138="","",J138+7)</f>
        <v/>
      </c>
      <c r="M138" s="11" t="n"/>
      <c r="N138" s="19" t="n"/>
      <c r="O138" s="11">
        <f>IF(OR(M138="",N138=""),"",M138*N138)</f>
        <v/>
      </c>
    </row>
    <row r="139">
      <c r="J139" s="18" t="n"/>
      <c r="L139" s="18">
        <f>IF(J139="","",J139+7)</f>
        <v/>
      </c>
      <c r="M139" s="11" t="n"/>
      <c r="N139" s="19" t="n"/>
      <c r="O139" s="11">
        <f>IF(OR(M139="",N139=""),"",M139*N139)</f>
        <v/>
      </c>
    </row>
    <row r="140">
      <c r="J140" s="18" t="n"/>
      <c r="L140" s="18">
        <f>IF(J140="","",J140+7)</f>
        <v/>
      </c>
      <c r="M140" s="11" t="n"/>
      <c r="N140" s="19" t="n"/>
      <c r="O140" s="11">
        <f>IF(OR(M140="",N140=""),"",M140*N140)</f>
        <v/>
      </c>
    </row>
    <row r="141">
      <c r="J141" s="18" t="n"/>
      <c r="L141" s="18">
        <f>IF(J141="","",J141+7)</f>
        <v/>
      </c>
      <c r="M141" s="11" t="n"/>
      <c r="N141" s="19" t="n"/>
      <c r="O141" s="11">
        <f>IF(OR(M141="",N141=""),"",M141*N141)</f>
        <v/>
      </c>
    </row>
    <row r="142">
      <c r="J142" s="18" t="n"/>
      <c r="L142" s="18">
        <f>IF(J142="","",J142+7)</f>
        <v/>
      </c>
      <c r="M142" s="11" t="n"/>
      <c r="N142" s="19" t="n"/>
      <c r="O142" s="11">
        <f>IF(OR(M142="",N142=""),"",M142*N142)</f>
        <v/>
      </c>
    </row>
    <row r="143">
      <c r="J143" s="18" t="n"/>
      <c r="L143" s="18">
        <f>IF(J143="","",J143+7)</f>
        <v/>
      </c>
      <c r="M143" s="11" t="n"/>
      <c r="N143" s="19" t="n"/>
      <c r="O143" s="11">
        <f>IF(OR(M143="",N143=""),"",M143*N143)</f>
        <v/>
      </c>
    </row>
    <row r="144">
      <c r="J144" s="18" t="n"/>
      <c r="L144" s="18">
        <f>IF(J144="","",J144+7)</f>
        <v/>
      </c>
      <c r="M144" s="11" t="n"/>
      <c r="N144" s="19" t="n"/>
      <c r="O144" s="11">
        <f>IF(OR(M144="",N144=""),"",M144*N144)</f>
        <v/>
      </c>
    </row>
    <row r="145">
      <c r="J145" s="18" t="n"/>
      <c r="L145" s="18">
        <f>IF(J145="","",J145+7)</f>
        <v/>
      </c>
      <c r="M145" s="11" t="n"/>
      <c r="N145" s="19" t="n"/>
      <c r="O145" s="11">
        <f>IF(OR(M145="",N145=""),"",M145*N145)</f>
        <v/>
      </c>
    </row>
    <row r="146">
      <c r="J146" s="18" t="n"/>
      <c r="L146" s="18">
        <f>IF(J146="","",J146+7)</f>
        <v/>
      </c>
      <c r="M146" s="11" t="n"/>
      <c r="N146" s="19" t="n"/>
      <c r="O146" s="11">
        <f>IF(OR(M146="",N146=""),"",M146*N146)</f>
        <v/>
      </c>
    </row>
    <row r="147">
      <c r="J147" s="18" t="n"/>
      <c r="L147" s="18">
        <f>IF(J147="","",J147+7)</f>
        <v/>
      </c>
      <c r="M147" s="11" t="n"/>
      <c r="N147" s="19" t="n"/>
      <c r="O147" s="11">
        <f>IF(OR(M147="",N147=""),"",M147*N147)</f>
        <v/>
      </c>
    </row>
    <row r="148">
      <c r="J148" s="18" t="n"/>
      <c r="L148" s="18">
        <f>IF(J148="","",J148+7)</f>
        <v/>
      </c>
      <c r="M148" s="11" t="n"/>
      <c r="N148" s="19" t="n"/>
      <c r="O148" s="11">
        <f>IF(OR(M148="",N148=""),"",M148*N148)</f>
        <v/>
      </c>
    </row>
    <row r="149">
      <c r="J149" s="18" t="n"/>
      <c r="L149" s="18">
        <f>IF(J149="","",J149+7)</f>
        <v/>
      </c>
      <c r="M149" s="11" t="n"/>
      <c r="N149" s="19" t="n"/>
      <c r="O149" s="11">
        <f>IF(OR(M149="",N149=""),"",M149*N149)</f>
        <v/>
      </c>
    </row>
    <row r="150">
      <c r="J150" s="18" t="n"/>
      <c r="L150" s="18">
        <f>IF(J150="","",J150+7)</f>
        <v/>
      </c>
      <c r="M150" s="11" t="n"/>
      <c r="N150" s="19" t="n"/>
      <c r="O150" s="11">
        <f>IF(OR(M150="",N150=""),"",M150*N150)</f>
        <v/>
      </c>
    </row>
    <row r="151">
      <c r="J151" s="18" t="n"/>
      <c r="L151" s="18">
        <f>IF(J151="","",J151+7)</f>
        <v/>
      </c>
      <c r="M151" s="11" t="n"/>
      <c r="N151" s="19" t="n"/>
      <c r="O151" s="11">
        <f>IF(OR(M151="",N151=""),"",M151*N151)</f>
        <v/>
      </c>
    </row>
    <row r="152">
      <c r="J152" s="18" t="n"/>
      <c r="L152" s="18">
        <f>IF(J152="","",J152+7)</f>
        <v/>
      </c>
      <c r="M152" s="11" t="n"/>
      <c r="N152" s="19" t="n"/>
      <c r="O152" s="11">
        <f>IF(OR(M152="",N152=""),"",M152*N152)</f>
        <v/>
      </c>
    </row>
    <row r="153">
      <c r="J153" s="18" t="n"/>
      <c r="L153" s="18">
        <f>IF(J153="","",J153+7)</f>
        <v/>
      </c>
      <c r="M153" s="11" t="n"/>
      <c r="N153" s="19" t="n"/>
      <c r="O153" s="11">
        <f>IF(OR(M153="",N153=""),"",M153*N153)</f>
        <v/>
      </c>
    </row>
    <row r="154">
      <c r="J154" s="18" t="n"/>
      <c r="L154" s="18">
        <f>IF(J154="","",J154+7)</f>
        <v/>
      </c>
      <c r="M154" s="11" t="n"/>
      <c r="N154" s="19" t="n"/>
      <c r="O154" s="11">
        <f>IF(OR(M154="",N154=""),"",M154*N154)</f>
        <v/>
      </c>
    </row>
    <row r="155">
      <c r="J155" s="18" t="n"/>
      <c r="L155" s="18">
        <f>IF(J155="","",J155+7)</f>
        <v/>
      </c>
      <c r="M155" s="11" t="n"/>
      <c r="N155" s="19" t="n"/>
      <c r="O155" s="11">
        <f>IF(OR(M155="",N155=""),"",M155*N155)</f>
        <v/>
      </c>
    </row>
    <row r="156">
      <c r="J156" s="18" t="n"/>
      <c r="L156" s="18">
        <f>IF(J156="","",J156+7)</f>
        <v/>
      </c>
      <c r="M156" s="11" t="n"/>
      <c r="N156" s="19" t="n"/>
      <c r="O156" s="11">
        <f>IF(OR(M156="",N156=""),"",M156*N156)</f>
        <v/>
      </c>
    </row>
    <row r="157">
      <c r="J157" s="18" t="n"/>
      <c r="L157" s="18">
        <f>IF(J157="","",J157+7)</f>
        <v/>
      </c>
      <c r="M157" s="11" t="n"/>
      <c r="N157" s="19" t="n"/>
      <c r="O157" s="11">
        <f>IF(OR(M157="",N157=""),"",M157*N157)</f>
        <v/>
      </c>
    </row>
    <row r="158">
      <c r="J158" s="18" t="n"/>
      <c r="L158" s="18">
        <f>IF(J158="","",J158+7)</f>
        <v/>
      </c>
      <c r="M158" s="11" t="n"/>
      <c r="N158" s="19" t="n"/>
      <c r="O158" s="11">
        <f>IF(OR(M158="",N158=""),"",M158*N158)</f>
        <v/>
      </c>
    </row>
    <row r="159">
      <c r="J159" s="18" t="n"/>
      <c r="L159" s="18">
        <f>IF(J159="","",J159+7)</f>
        <v/>
      </c>
      <c r="M159" s="11" t="n"/>
      <c r="N159" s="19" t="n"/>
      <c r="O159" s="11">
        <f>IF(OR(M159="",N159=""),"",M159*N159)</f>
        <v/>
      </c>
    </row>
    <row r="160">
      <c r="J160" s="18" t="n"/>
      <c r="L160" s="18">
        <f>IF(J160="","",J160+7)</f>
        <v/>
      </c>
      <c r="M160" s="11" t="n"/>
      <c r="N160" s="19" t="n"/>
      <c r="O160" s="11">
        <f>IF(OR(M160="",N160=""),"",M160*N160)</f>
        <v/>
      </c>
    </row>
    <row r="161">
      <c r="J161" s="18" t="n"/>
      <c r="L161" s="18">
        <f>IF(J161="","",J161+7)</f>
        <v/>
      </c>
      <c r="M161" s="11" t="n"/>
      <c r="N161" s="19" t="n"/>
      <c r="O161" s="11">
        <f>IF(OR(M161="",N161=""),"",M161*N161)</f>
        <v/>
      </c>
    </row>
    <row r="162">
      <c r="J162" s="18" t="n"/>
      <c r="L162" s="18">
        <f>IF(J162="","",J162+7)</f>
        <v/>
      </c>
      <c r="M162" s="11" t="n"/>
      <c r="N162" s="19" t="n"/>
      <c r="O162" s="11">
        <f>IF(OR(M162="",N162=""),"",M162*N162)</f>
        <v/>
      </c>
    </row>
    <row r="163">
      <c r="J163" s="18" t="n"/>
      <c r="L163" s="18">
        <f>IF(J163="","",J163+7)</f>
        <v/>
      </c>
      <c r="M163" s="11" t="n"/>
      <c r="N163" s="19" t="n"/>
      <c r="O163" s="11">
        <f>IF(OR(M163="",N163=""),"",M163*N163)</f>
        <v/>
      </c>
    </row>
    <row r="164">
      <c r="J164" s="18" t="n"/>
      <c r="L164" s="18">
        <f>IF(J164="","",J164+7)</f>
        <v/>
      </c>
      <c r="M164" s="11" t="n"/>
      <c r="N164" s="19" t="n"/>
      <c r="O164" s="11">
        <f>IF(OR(M164="",N164=""),"",M164*N164)</f>
        <v/>
      </c>
    </row>
    <row r="165">
      <c r="J165" s="18" t="n"/>
      <c r="L165" s="18">
        <f>IF(J165="","",J165+7)</f>
        <v/>
      </c>
      <c r="M165" s="11" t="n"/>
      <c r="N165" s="19" t="n"/>
      <c r="O165" s="11">
        <f>IF(OR(M165="",N165=""),"",M165*N165)</f>
        <v/>
      </c>
    </row>
    <row r="166">
      <c r="J166" s="18" t="n"/>
      <c r="L166" s="18">
        <f>IF(J166="","",J166+7)</f>
        <v/>
      </c>
      <c r="M166" s="11" t="n"/>
      <c r="N166" s="19" t="n"/>
      <c r="O166" s="11">
        <f>IF(OR(M166="",N166=""),"",M166*N166)</f>
        <v/>
      </c>
    </row>
    <row r="167">
      <c r="J167" s="18" t="n"/>
      <c r="L167" s="18">
        <f>IF(J167="","",J167+7)</f>
        <v/>
      </c>
      <c r="M167" s="11" t="n"/>
      <c r="N167" s="19" t="n"/>
      <c r="O167" s="11">
        <f>IF(OR(M167="",N167=""),"",M167*N167)</f>
        <v/>
      </c>
    </row>
    <row r="168">
      <c r="J168" s="18" t="n"/>
      <c r="L168" s="18">
        <f>IF(J168="","",J168+7)</f>
        <v/>
      </c>
      <c r="M168" s="11" t="n"/>
      <c r="N168" s="19" t="n"/>
      <c r="O168" s="11">
        <f>IF(OR(M168="",N168=""),"",M168*N168)</f>
        <v/>
      </c>
    </row>
    <row r="169">
      <c r="J169" s="18" t="n"/>
      <c r="L169" s="18">
        <f>IF(J169="","",J169+7)</f>
        <v/>
      </c>
      <c r="M169" s="11" t="n"/>
      <c r="N169" s="19" t="n"/>
      <c r="O169" s="11">
        <f>IF(OR(M169="",N169=""),"",M169*N169)</f>
        <v/>
      </c>
    </row>
    <row r="170">
      <c r="J170" s="18" t="n"/>
      <c r="L170" s="18">
        <f>IF(J170="","",J170+7)</f>
        <v/>
      </c>
      <c r="M170" s="11" t="n"/>
      <c r="N170" s="19" t="n"/>
      <c r="O170" s="11">
        <f>IF(OR(M170="",N170=""),"",M170*N170)</f>
        <v/>
      </c>
    </row>
    <row r="171">
      <c r="J171" s="18" t="n"/>
      <c r="L171" s="18">
        <f>IF(J171="","",J171+7)</f>
        <v/>
      </c>
      <c r="M171" s="11" t="n"/>
      <c r="N171" s="19" t="n"/>
      <c r="O171" s="11">
        <f>IF(OR(M171="",N171=""),"",M171*N171)</f>
        <v/>
      </c>
    </row>
    <row r="172">
      <c r="J172" s="18" t="n"/>
      <c r="L172" s="18">
        <f>IF(J172="","",J172+7)</f>
        <v/>
      </c>
      <c r="M172" s="11" t="n"/>
      <c r="N172" s="19" t="n"/>
      <c r="O172" s="11">
        <f>IF(OR(M172="",N172=""),"",M172*N172)</f>
        <v/>
      </c>
    </row>
    <row r="173">
      <c r="J173" s="18" t="n"/>
      <c r="L173" s="18">
        <f>IF(J173="","",J173+7)</f>
        <v/>
      </c>
      <c r="M173" s="11" t="n"/>
      <c r="N173" s="19" t="n"/>
      <c r="O173" s="11">
        <f>IF(OR(M173="",N173=""),"",M173*N173)</f>
        <v/>
      </c>
    </row>
    <row r="174">
      <c r="J174" s="18" t="n"/>
      <c r="L174" s="18">
        <f>IF(J174="","",J174+7)</f>
        <v/>
      </c>
      <c r="M174" s="11" t="n"/>
      <c r="N174" s="19" t="n"/>
      <c r="O174" s="11">
        <f>IF(OR(M174="",N174=""),"",M174*N174)</f>
        <v/>
      </c>
    </row>
    <row r="175">
      <c r="J175" s="18" t="n"/>
      <c r="L175" s="18">
        <f>IF(J175="","",J175+7)</f>
        <v/>
      </c>
      <c r="M175" s="11" t="n"/>
      <c r="N175" s="19" t="n"/>
      <c r="O175" s="11">
        <f>IF(OR(M175="",N175=""),"",M175*N175)</f>
        <v/>
      </c>
    </row>
    <row r="176">
      <c r="J176" s="18" t="n"/>
      <c r="L176" s="18">
        <f>IF(J176="","",J176+7)</f>
        <v/>
      </c>
      <c r="M176" s="11" t="n"/>
      <c r="N176" s="19" t="n"/>
      <c r="O176" s="11">
        <f>IF(OR(M176="",N176=""),"",M176*N176)</f>
        <v/>
      </c>
    </row>
    <row r="177">
      <c r="J177" s="18" t="n"/>
      <c r="L177" s="18">
        <f>IF(J177="","",J177+7)</f>
        <v/>
      </c>
      <c r="M177" s="11" t="n"/>
      <c r="N177" s="19" t="n"/>
      <c r="O177" s="11">
        <f>IF(OR(M177="",N177=""),"",M177*N177)</f>
        <v/>
      </c>
    </row>
    <row r="178">
      <c r="J178" s="18" t="n"/>
      <c r="L178" s="18">
        <f>IF(J178="","",J178+7)</f>
        <v/>
      </c>
      <c r="M178" s="11" t="n"/>
      <c r="N178" s="19" t="n"/>
      <c r="O178" s="11">
        <f>IF(OR(M178="",N178=""),"",M178*N178)</f>
        <v/>
      </c>
    </row>
    <row r="179">
      <c r="J179" s="18" t="n"/>
      <c r="L179" s="18">
        <f>IF(J179="","",J179+7)</f>
        <v/>
      </c>
      <c r="M179" s="11" t="n"/>
      <c r="N179" s="19" t="n"/>
      <c r="O179" s="11">
        <f>IF(OR(M179="",N179=""),"",M179*N179)</f>
        <v/>
      </c>
    </row>
    <row r="180">
      <c r="J180" s="18" t="n"/>
      <c r="L180" s="18">
        <f>IF(J180="","",J180+7)</f>
        <v/>
      </c>
      <c r="M180" s="11" t="n"/>
      <c r="N180" s="19" t="n"/>
      <c r="O180" s="11">
        <f>IF(OR(M180="",N180=""),"",M180*N180)</f>
        <v/>
      </c>
    </row>
    <row r="181">
      <c r="J181" s="18" t="n"/>
      <c r="L181" s="18">
        <f>IF(J181="","",J181+7)</f>
        <v/>
      </c>
      <c r="M181" s="11" t="n"/>
      <c r="N181" s="19" t="n"/>
      <c r="O181" s="11">
        <f>IF(OR(M181="",N181=""),"",M181*N181)</f>
        <v/>
      </c>
    </row>
    <row r="182">
      <c r="J182" s="18" t="n"/>
      <c r="L182" s="18">
        <f>IF(J182="","",J182+7)</f>
        <v/>
      </c>
      <c r="M182" s="11" t="n"/>
      <c r="N182" s="19" t="n"/>
      <c r="O182" s="11">
        <f>IF(OR(M182="",N182=""),"",M182*N182)</f>
        <v/>
      </c>
    </row>
    <row r="183">
      <c r="J183" s="18" t="n"/>
      <c r="L183" s="18">
        <f>IF(J183="","",J183+7)</f>
        <v/>
      </c>
      <c r="M183" s="11" t="n"/>
      <c r="N183" s="19" t="n"/>
      <c r="O183" s="11">
        <f>IF(OR(M183="",N183=""),"",M183*N183)</f>
        <v/>
      </c>
    </row>
    <row r="184">
      <c r="J184" s="18" t="n"/>
      <c r="L184" s="18">
        <f>IF(J184="","",J184+7)</f>
        <v/>
      </c>
      <c r="M184" s="11" t="n"/>
      <c r="N184" s="19" t="n"/>
      <c r="O184" s="11">
        <f>IF(OR(M184="",N184=""),"",M184*N184)</f>
        <v/>
      </c>
    </row>
    <row r="185">
      <c r="J185" s="18" t="n"/>
      <c r="L185" s="18">
        <f>IF(J185="","",J185+7)</f>
        <v/>
      </c>
      <c r="M185" s="11" t="n"/>
      <c r="N185" s="19" t="n"/>
      <c r="O185" s="11">
        <f>IF(OR(M185="",N185=""),"",M185*N185)</f>
        <v/>
      </c>
    </row>
    <row r="186">
      <c r="J186" s="18" t="n"/>
      <c r="L186" s="18">
        <f>IF(J186="","",J186+7)</f>
        <v/>
      </c>
      <c r="M186" s="11" t="n"/>
      <c r="N186" s="19" t="n"/>
      <c r="O186" s="11">
        <f>IF(OR(M186="",N186=""),"",M186*N186)</f>
        <v/>
      </c>
    </row>
    <row r="187">
      <c r="J187" s="18" t="n"/>
      <c r="L187" s="18">
        <f>IF(J187="","",J187+7)</f>
        <v/>
      </c>
      <c r="M187" s="11" t="n"/>
      <c r="N187" s="19" t="n"/>
      <c r="O187" s="11">
        <f>IF(OR(M187="",N187=""),"",M187*N187)</f>
        <v/>
      </c>
    </row>
    <row r="188">
      <c r="J188" s="18" t="n"/>
      <c r="L188" s="18">
        <f>IF(J188="","",J188+7)</f>
        <v/>
      </c>
      <c r="M188" s="11" t="n"/>
      <c r="N188" s="19" t="n"/>
      <c r="O188" s="11">
        <f>IF(OR(M188="",N188=""),"",M188*N188)</f>
        <v/>
      </c>
    </row>
    <row r="189">
      <c r="J189" s="18" t="n"/>
      <c r="L189" s="18">
        <f>IF(J189="","",J189+7)</f>
        <v/>
      </c>
      <c r="M189" s="11" t="n"/>
      <c r="N189" s="19" t="n"/>
      <c r="O189" s="11">
        <f>IF(OR(M189="",N189=""),"",M189*N189)</f>
        <v/>
      </c>
    </row>
    <row r="190">
      <c r="J190" s="18" t="n"/>
      <c r="L190" s="18">
        <f>IF(J190="","",J190+7)</f>
        <v/>
      </c>
      <c r="M190" s="11" t="n"/>
      <c r="N190" s="19" t="n"/>
      <c r="O190" s="11">
        <f>IF(OR(M190="",N190=""),"",M190*N190)</f>
        <v/>
      </c>
    </row>
    <row r="191">
      <c r="J191" s="18" t="n"/>
      <c r="L191" s="18">
        <f>IF(J191="","",J191+7)</f>
        <v/>
      </c>
      <c r="M191" s="11" t="n"/>
      <c r="N191" s="19" t="n"/>
      <c r="O191" s="11">
        <f>IF(OR(M191="",N191=""),"",M191*N191)</f>
        <v/>
      </c>
    </row>
    <row r="192">
      <c r="J192" s="18" t="n"/>
      <c r="L192" s="18">
        <f>IF(J192="","",J192+7)</f>
        <v/>
      </c>
      <c r="M192" s="11" t="n"/>
      <c r="N192" s="19" t="n"/>
      <c r="O192" s="11">
        <f>IF(OR(M192="",N192=""),"",M192*N192)</f>
        <v/>
      </c>
    </row>
    <row r="193">
      <c r="J193" s="18" t="n"/>
      <c r="L193" s="18">
        <f>IF(J193="","",J193+7)</f>
        <v/>
      </c>
      <c r="M193" s="11" t="n"/>
      <c r="N193" s="19" t="n"/>
      <c r="O193" s="11">
        <f>IF(OR(M193="",N193=""),"",M193*N193)</f>
        <v/>
      </c>
    </row>
    <row r="194">
      <c r="J194" s="18" t="n"/>
      <c r="L194" s="18">
        <f>IF(J194="","",J194+7)</f>
        <v/>
      </c>
      <c r="M194" s="11" t="n"/>
      <c r="N194" s="19" t="n"/>
      <c r="O194" s="11">
        <f>IF(OR(M194="",N194=""),"",M194*N194)</f>
        <v/>
      </c>
    </row>
    <row r="195">
      <c r="J195" s="18" t="n"/>
      <c r="L195" s="18">
        <f>IF(J195="","",J195+7)</f>
        <v/>
      </c>
      <c r="M195" s="11" t="n"/>
      <c r="N195" s="19" t="n"/>
      <c r="O195" s="11">
        <f>IF(OR(M195="",N195=""),"",M195*N195)</f>
        <v/>
      </c>
    </row>
    <row r="196">
      <c r="J196" s="18" t="n"/>
      <c r="L196" s="18">
        <f>IF(J196="","",J196+7)</f>
        <v/>
      </c>
      <c r="M196" s="11" t="n"/>
      <c r="N196" s="19" t="n"/>
      <c r="O196" s="11">
        <f>IF(OR(M196="",N196=""),"",M196*N196)</f>
        <v/>
      </c>
    </row>
    <row r="197">
      <c r="J197" s="18" t="n"/>
      <c r="L197" s="18">
        <f>IF(J197="","",J197+7)</f>
        <v/>
      </c>
      <c r="M197" s="11" t="n"/>
      <c r="N197" s="19" t="n"/>
      <c r="O197" s="11">
        <f>IF(OR(M197="",N197=""),"",M197*N197)</f>
        <v/>
      </c>
    </row>
    <row r="198">
      <c r="J198" s="18" t="n"/>
      <c r="L198" s="18">
        <f>IF(J198="","",J198+7)</f>
        <v/>
      </c>
      <c r="M198" s="11" t="n"/>
      <c r="N198" s="19" t="n"/>
      <c r="O198" s="11">
        <f>IF(OR(M198="",N198=""),"",M198*N198)</f>
        <v/>
      </c>
    </row>
    <row r="199">
      <c r="J199" s="18" t="n"/>
      <c r="L199" s="18">
        <f>IF(J199="","",J199+7)</f>
        <v/>
      </c>
      <c r="M199" s="11" t="n"/>
      <c r="N199" s="19" t="n"/>
      <c r="O199" s="11">
        <f>IF(OR(M199="",N199=""),"",M199*N199)</f>
        <v/>
      </c>
    </row>
    <row r="200">
      <c r="J200" s="18" t="n"/>
      <c r="L200" s="18">
        <f>IF(J200="","",J200+7)</f>
        <v/>
      </c>
      <c r="M200" s="11" t="n"/>
      <c r="N200" s="19" t="n"/>
      <c r="O200" s="11">
        <f>IF(OR(M200="",N200=""),"",M200*N200)</f>
        <v/>
      </c>
    </row>
    <row r="201">
      <c r="J201" s="18" t="n"/>
      <c r="L201" s="18">
        <f>IF(J201="","",J201+7)</f>
        <v/>
      </c>
      <c r="M201" s="11" t="n"/>
      <c r="N201" s="19" t="n"/>
      <c r="O201" s="11">
        <f>IF(OR(M201="",N201=""),"",M201*N201)</f>
        <v/>
      </c>
    </row>
    <row r="202">
      <c r="J202" s="18" t="n"/>
      <c r="L202" s="18">
        <f>IF(J202="","",J202+7)</f>
        <v/>
      </c>
      <c r="M202" s="11" t="n"/>
      <c r="N202" s="19" t="n"/>
      <c r="O202" s="11">
        <f>IF(OR(M202="",N202=""),"",M202*N202)</f>
        <v/>
      </c>
    </row>
    <row r="203">
      <c r="J203" s="18" t="n"/>
      <c r="L203" s="18">
        <f>IF(J203="","",J203+7)</f>
        <v/>
      </c>
      <c r="M203" s="11" t="n"/>
      <c r="N203" s="19" t="n"/>
      <c r="O203" s="11">
        <f>IF(OR(M203="",N203=""),"",M203*N203)</f>
        <v/>
      </c>
    </row>
    <row r="204">
      <c r="J204" s="18" t="n"/>
      <c r="L204" s="18">
        <f>IF(J204="","",J204+7)</f>
        <v/>
      </c>
      <c r="M204" s="11" t="n"/>
      <c r="N204" s="19" t="n"/>
      <c r="O204" s="11">
        <f>IF(OR(M204="",N204=""),"",M204*N204)</f>
        <v/>
      </c>
    </row>
    <row r="205">
      <c r="J205" s="18" t="n"/>
      <c r="L205" s="18">
        <f>IF(J205="","",J205+7)</f>
        <v/>
      </c>
      <c r="M205" s="11" t="n"/>
      <c r="N205" s="19" t="n"/>
      <c r="O205" s="11">
        <f>IF(OR(M205="",N205=""),"",M205*N205)</f>
        <v/>
      </c>
    </row>
    <row r="206">
      <c r="J206" s="18" t="n"/>
      <c r="L206" s="18">
        <f>IF(J206="","",J206+7)</f>
        <v/>
      </c>
      <c r="M206" s="11" t="n"/>
      <c r="N206" s="19" t="n"/>
      <c r="O206" s="11">
        <f>IF(OR(M206="",N206=""),"",M206*N206)</f>
        <v/>
      </c>
    </row>
    <row r="207">
      <c r="J207" s="18" t="n"/>
      <c r="L207" s="18">
        <f>IF(J207="","",J207+7)</f>
        <v/>
      </c>
      <c r="M207" s="11" t="n"/>
      <c r="N207" s="19" t="n"/>
      <c r="O207" s="11">
        <f>IF(OR(M207="",N207=""),"",M207*N207)</f>
        <v/>
      </c>
    </row>
    <row r="208">
      <c r="J208" s="18" t="n"/>
      <c r="L208" s="18">
        <f>IF(J208="","",J208+7)</f>
        <v/>
      </c>
      <c r="M208" s="11" t="n"/>
      <c r="N208" s="19" t="n"/>
      <c r="O208" s="11">
        <f>IF(OR(M208="",N208=""),"",M208*N208)</f>
        <v/>
      </c>
    </row>
    <row r="209">
      <c r="J209" s="18" t="n"/>
      <c r="L209" s="18">
        <f>IF(J209="","",J209+7)</f>
        <v/>
      </c>
      <c r="M209" s="11" t="n"/>
      <c r="N209" s="19" t="n"/>
      <c r="O209" s="11">
        <f>IF(OR(M209="",N209=""),"",M209*N209)</f>
        <v/>
      </c>
    </row>
    <row r="210">
      <c r="J210" s="18" t="n"/>
      <c r="L210" s="18">
        <f>IF(J210="","",J210+7)</f>
        <v/>
      </c>
      <c r="M210" s="11" t="n"/>
      <c r="N210" s="19" t="n"/>
      <c r="O210" s="11">
        <f>IF(OR(M210="",N210=""),"",M210*N210)</f>
        <v/>
      </c>
    </row>
    <row r="211">
      <c r="J211" s="18" t="n"/>
      <c r="L211" s="18">
        <f>IF(J211="","",J211+7)</f>
        <v/>
      </c>
      <c r="M211" s="11" t="n"/>
      <c r="N211" s="19" t="n"/>
      <c r="O211" s="11">
        <f>IF(OR(M211="",N211=""),"",M211*N211)</f>
        <v/>
      </c>
    </row>
    <row r="212">
      <c r="J212" s="18" t="n"/>
      <c r="L212" s="18">
        <f>IF(J212="","",J212+7)</f>
        <v/>
      </c>
      <c r="M212" s="11" t="n"/>
      <c r="N212" s="19" t="n"/>
      <c r="O212" s="11">
        <f>IF(OR(M212="",N212=""),"",M212*N212)</f>
        <v/>
      </c>
    </row>
    <row r="213">
      <c r="J213" s="18" t="n"/>
      <c r="L213" s="18">
        <f>IF(J213="","",J213+7)</f>
        <v/>
      </c>
      <c r="M213" s="11" t="n"/>
      <c r="N213" s="19" t="n"/>
      <c r="O213" s="11">
        <f>IF(OR(M213="",N213=""),"",M213*N213)</f>
        <v/>
      </c>
    </row>
    <row r="214">
      <c r="J214" s="18" t="n"/>
      <c r="L214" s="18">
        <f>IF(J214="","",J214+7)</f>
        <v/>
      </c>
      <c r="M214" s="11" t="n"/>
      <c r="N214" s="19" t="n"/>
      <c r="O214" s="11">
        <f>IF(OR(M214="",N214=""),"",M214*N214)</f>
        <v/>
      </c>
    </row>
    <row r="215">
      <c r="J215" s="18" t="n"/>
      <c r="L215" s="18">
        <f>IF(J215="","",J215+7)</f>
        <v/>
      </c>
      <c r="M215" s="11" t="n"/>
      <c r="N215" s="19" t="n"/>
      <c r="O215" s="11">
        <f>IF(OR(M215="",N215=""),"",M215*N215)</f>
        <v/>
      </c>
    </row>
    <row r="216">
      <c r="J216" s="18" t="n"/>
      <c r="L216" s="18">
        <f>IF(J216="","",J216+7)</f>
        <v/>
      </c>
      <c r="M216" s="11" t="n"/>
      <c r="N216" s="19" t="n"/>
      <c r="O216" s="11">
        <f>IF(OR(M216="",N216=""),"",M216*N216)</f>
        <v/>
      </c>
    </row>
    <row r="217">
      <c r="J217" s="18" t="n"/>
      <c r="L217" s="18">
        <f>IF(J217="","",J217+7)</f>
        <v/>
      </c>
      <c r="M217" s="11" t="n"/>
      <c r="N217" s="19" t="n"/>
      <c r="O217" s="11">
        <f>IF(OR(M217="",N217=""),"",M217*N217)</f>
        <v/>
      </c>
    </row>
    <row r="218">
      <c r="J218" s="18" t="n"/>
      <c r="L218" s="18">
        <f>IF(J218="","",J218+7)</f>
        <v/>
      </c>
      <c r="M218" s="11" t="n"/>
      <c r="N218" s="19" t="n"/>
      <c r="O218" s="11">
        <f>IF(OR(M218="",N218=""),"",M218*N218)</f>
        <v/>
      </c>
    </row>
    <row r="219">
      <c r="J219" s="18" t="n"/>
      <c r="L219" s="18">
        <f>IF(J219="","",J219+7)</f>
        <v/>
      </c>
      <c r="M219" s="11" t="n"/>
      <c r="N219" s="19" t="n"/>
      <c r="O219" s="11">
        <f>IF(OR(M219="",N219=""),"",M219*N219)</f>
        <v/>
      </c>
    </row>
    <row r="220">
      <c r="J220" s="18" t="n"/>
      <c r="L220" s="18">
        <f>IF(J220="","",J220+7)</f>
        <v/>
      </c>
      <c r="M220" s="11" t="n"/>
      <c r="N220" s="19" t="n"/>
      <c r="O220" s="11">
        <f>IF(OR(M220="",N220=""),"",M220*N220)</f>
        <v/>
      </c>
    </row>
    <row r="221">
      <c r="J221" s="18" t="n"/>
      <c r="L221" s="18">
        <f>IF(J221="","",J221+7)</f>
        <v/>
      </c>
      <c r="M221" s="11" t="n"/>
      <c r="N221" s="19" t="n"/>
      <c r="O221" s="11">
        <f>IF(OR(M221="",N221=""),"",M221*N221)</f>
        <v/>
      </c>
    </row>
    <row r="222">
      <c r="J222" s="18" t="n"/>
      <c r="L222" s="18">
        <f>IF(J222="","",J222+7)</f>
        <v/>
      </c>
      <c r="M222" s="11" t="n"/>
      <c r="N222" s="19" t="n"/>
      <c r="O222" s="11">
        <f>IF(OR(M222="",N222=""),"",M222*N222)</f>
        <v/>
      </c>
    </row>
    <row r="223">
      <c r="J223" s="18" t="n"/>
      <c r="L223" s="18">
        <f>IF(J223="","",J223+7)</f>
        <v/>
      </c>
      <c r="M223" s="11" t="n"/>
      <c r="N223" s="19" t="n"/>
      <c r="O223" s="11">
        <f>IF(OR(M223="",N223=""),"",M223*N223)</f>
        <v/>
      </c>
    </row>
    <row r="224">
      <c r="J224" s="18" t="n"/>
      <c r="L224" s="18">
        <f>IF(J224="","",J224+7)</f>
        <v/>
      </c>
      <c r="M224" s="11" t="n"/>
      <c r="N224" s="19" t="n"/>
      <c r="O224" s="11">
        <f>IF(OR(M224="",N224=""),"",M224*N224)</f>
        <v/>
      </c>
    </row>
    <row r="225">
      <c r="J225" s="18" t="n"/>
      <c r="L225" s="18">
        <f>IF(J225="","",J225+7)</f>
        <v/>
      </c>
      <c r="M225" s="11" t="n"/>
      <c r="N225" s="19" t="n"/>
      <c r="O225" s="11">
        <f>IF(OR(M225="",N225=""),"",M225*N225)</f>
        <v/>
      </c>
    </row>
    <row r="226">
      <c r="J226" s="18" t="n"/>
      <c r="L226" s="18">
        <f>IF(J226="","",J226+7)</f>
        <v/>
      </c>
      <c r="M226" s="11" t="n"/>
      <c r="N226" s="19" t="n"/>
      <c r="O226" s="11">
        <f>IF(OR(M226="",N226=""),"",M226*N226)</f>
        <v/>
      </c>
    </row>
    <row r="227">
      <c r="J227" s="18" t="n"/>
      <c r="L227" s="18">
        <f>IF(J227="","",J227+7)</f>
        <v/>
      </c>
      <c r="M227" s="11" t="n"/>
      <c r="N227" s="19" t="n"/>
      <c r="O227" s="11">
        <f>IF(OR(M227="",N227=""),"",M227*N227)</f>
        <v/>
      </c>
    </row>
    <row r="228">
      <c r="J228" s="18" t="n"/>
      <c r="L228" s="18">
        <f>IF(J228="","",J228+7)</f>
        <v/>
      </c>
      <c r="M228" s="11" t="n"/>
      <c r="N228" s="19" t="n"/>
      <c r="O228" s="11">
        <f>IF(OR(M228="",N228=""),"",M228*N228)</f>
        <v/>
      </c>
    </row>
    <row r="229">
      <c r="J229" s="18" t="n"/>
      <c r="L229" s="18">
        <f>IF(J229="","",J229+7)</f>
        <v/>
      </c>
      <c r="M229" s="11" t="n"/>
      <c r="N229" s="19" t="n"/>
      <c r="O229" s="11">
        <f>IF(OR(M229="",N229=""),"",M229*N229)</f>
        <v/>
      </c>
    </row>
    <row r="230">
      <c r="J230" s="18" t="n"/>
      <c r="L230" s="18">
        <f>IF(J230="","",J230+7)</f>
        <v/>
      </c>
      <c r="M230" s="11" t="n"/>
      <c r="N230" s="19" t="n"/>
      <c r="O230" s="11">
        <f>IF(OR(M230="",N230=""),"",M230*N230)</f>
        <v/>
      </c>
    </row>
    <row r="231">
      <c r="J231" s="18" t="n"/>
      <c r="L231" s="18">
        <f>IF(J231="","",J231+7)</f>
        <v/>
      </c>
      <c r="M231" s="11" t="n"/>
      <c r="N231" s="19" t="n"/>
      <c r="O231" s="11">
        <f>IF(OR(M231="",N231=""),"",M231*N231)</f>
        <v/>
      </c>
    </row>
    <row r="232">
      <c r="J232" s="18" t="n"/>
      <c r="L232" s="18">
        <f>IF(J232="","",J232+7)</f>
        <v/>
      </c>
      <c r="M232" s="11" t="n"/>
      <c r="N232" s="19" t="n"/>
      <c r="O232" s="11">
        <f>IF(OR(M232="",N232=""),"",M232*N232)</f>
        <v/>
      </c>
    </row>
    <row r="233">
      <c r="J233" s="18" t="n"/>
      <c r="L233" s="18">
        <f>IF(J233="","",J233+7)</f>
        <v/>
      </c>
      <c r="M233" s="11" t="n"/>
      <c r="N233" s="19" t="n"/>
      <c r="O233" s="11">
        <f>IF(OR(M233="",N233=""),"",M233*N233)</f>
        <v/>
      </c>
    </row>
    <row r="234">
      <c r="J234" s="18" t="n"/>
      <c r="L234" s="18">
        <f>IF(J234="","",J234+7)</f>
        <v/>
      </c>
      <c r="M234" s="11" t="n"/>
      <c r="N234" s="19" t="n"/>
      <c r="O234" s="11">
        <f>IF(OR(M234="",N234=""),"",M234*N234)</f>
        <v/>
      </c>
    </row>
    <row r="235">
      <c r="J235" s="18" t="n"/>
      <c r="L235" s="18">
        <f>IF(J235="","",J235+7)</f>
        <v/>
      </c>
      <c r="M235" s="11" t="n"/>
      <c r="N235" s="19" t="n"/>
      <c r="O235" s="11">
        <f>IF(OR(M235="",N235=""),"",M235*N235)</f>
        <v/>
      </c>
    </row>
    <row r="236">
      <c r="J236" s="18" t="n"/>
      <c r="L236" s="18">
        <f>IF(J236="","",J236+7)</f>
        <v/>
      </c>
      <c r="M236" s="11" t="n"/>
      <c r="N236" s="19" t="n"/>
      <c r="O236" s="11">
        <f>IF(OR(M236="",N236=""),"",M236*N236)</f>
        <v/>
      </c>
    </row>
    <row r="237">
      <c r="J237" s="18" t="n"/>
      <c r="L237" s="18">
        <f>IF(J237="","",J237+7)</f>
        <v/>
      </c>
      <c r="M237" s="11" t="n"/>
      <c r="N237" s="19" t="n"/>
      <c r="O237" s="11">
        <f>IF(OR(M237="",N237=""),"",M237*N237)</f>
        <v/>
      </c>
    </row>
    <row r="238">
      <c r="J238" s="18" t="n"/>
      <c r="L238" s="18">
        <f>IF(J238="","",J238+7)</f>
        <v/>
      </c>
      <c r="M238" s="11" t="n"/>
      <c r="N238" s="19" t="n"/>
      <c r="O238" s="11">
        <f>IF(OR(M238="",N238=""),"",M238*N238)</f>
        <v/>
      </c>
    </row>
    <row r="239">
      <c r="J239" s="18" t="n"/>
      <c r="L239" s="18">
        <f>IF(J239="","",J239+7)</f>
        <v/>
      </c>
      <c r="M239" s="11" t="n"/>
      <c r="N239" s="19" t="n"/>
      <c r="O239" s="11">
        <f>IF(OR(M239="",N239=""),"",M239*N239)</f>
        <v/>
      </c>
    </row>
    <row r="240">
      <c r="J240" s="18" t="n"/>
      <c r="L240" s="18">
        <f>IF(J240="","",J240+7)</f>
        <v/>
      </c>
      <c r="M240" s="11" t="n"/>
      <c r="N240" s="19" t="n"/>
      <c r="O240" s="11">
        <f>IF(OR(M240="",N240=""),"",M240*N240)</f>
        <v/>
      </c>
    </row>
    <row r="241">
      <c r="J241" s="18" t="n"/>
      <c r="L241" s="18">
        <f>IF(J241="","",J241+7)</f>
        <v/>
      </c>
      <c r="M241" s="11" t="n"/>
      <c r="N241" s="19" t="n"/>
      <c r="O241" s="11">
        <f>IF(OR(M241="",N241=""),"",M241*N241)</f>
        <v/>
      </c>
    </row>
    <row r="242">
      <c r="J242" s="18" t="n"/>
      <c r="L242" s="18">
        <f>IF(J242="","",J242+7)</f>
        <v/>
      </c>
      <c r="M242" s="11" t="n"/>
      <c r="N242" s="19" t="n"/>
      <c r="O242" s="11">
        <f>IF(OR(M242="",N242=""),"",M242*N242)</f>
        <v/>
      </c>
    </row>
    <row r="243">
      <c r="J243" s="18" t="n"/>
      <c r="L243" s="18">
        <f>IF(J243="","",J243+7)</f>
        <v/>
      </c>
      <c r="M243" s="11" t="n"/>
      <c r="N243" s="19" t="n"/>
      <c r="O243" s="11">
        <f>IF(OR(M243="",N243=""),"",M243*N243)</f>
        <v/>
      </c>
    </row>
    <row r="244">
      <c r="J244" s="18" t="n"/>
      <c r="L244" s="18">
        <f>IF(J244="","",J244+7)</f>
        <v/>
      </c>
      <c r="M244" s="11" t="n"/>
      <c r="N244" s="19" t="n"/>
      <c r="O244" s="11">
        <f>IF(OR(M244="",N244=""),"",M244*N244)</f>
        <v/>
      </c>
    </row>
    <row r="245">
      <c r="J245" s="18" t="n"/>
      <c r="L245" s="18">
        <f>IF(J245="","",J245+7)</f>
        <v/>
      </c>
      <c r="M245" s="11" t="n"/>
      <c r="N245" s="19" t="n"/>
      <c r="O245" s="11">
        <f>IF(OR(M245="",N245=""),"",M245*N245)</f>
        <v/>
      </c>
    </row>
    <row r="246">
      <c r="J246" s="18" t="n"/>
      <c r="L246" s="18">
        <f>IF(J246="","",J246+7)</f>
        <v/>
      </c>
      <c r="M246" s="11" t="n"/>
      <c r="N246" s="19" t="n"/>
      <c r="O246" s="11">
        <f>IF(OR(M246="",N246=""),"",M246*N246)</f>
        <v/>
      </c>
    </row>
    <row r="247">
      <c r="J247" s="18" t="n"/>
      <c r="L247" s="18">
        <f>IF(J247="","",J247+7)</f>
        <v/>
      </c>
      <c r="M247" s="11" t="n"/>
      <c r="N247" s="19" t="n"/>
      <c r="O247" s="11">
        <f>IF(OR(M247="",N247=""),"",M247*N247)</f>
        <v/>
      </c>
    </row>
    <row r="248">
      <c r="J248" s="18" t="n"/>
      <c r="L248" s="18">
        <f>IF(J248="","",J248+7)</f>
        <v/>
      </c>
      <c r="M248" s="11" t="n"/>
      <c r="N248" s="19" t="n"/>
      <c r="O248" s="11">
        <f>IF(OR(M248="",N248=""),"",M248*N248)</f>
        <v/>
      </c>
    </row>
    <row r="249">
      <c r="J249" s="18" t="n"/>
      <c r="L249" s="18">
        <f>IF(J249="","",J249+7)</f>
        <v/>
      </c>
      <c r="M249" s="11" t="n"/>
      <c r="N249" s="19" t="n"/>
      <c r="O249" s="11">
        <f>IF(OR(M249="",N249=""),"",M249*N249)</f>
        <v/>
      </c>
    </row>
    <row r="250">
      <c r="J250" s="18" t="n"/>
      <c r="L250" s="18">
        <f>IF(J250="","",J250+7)</f>
        <v/>
      </c>
      <c r="M250" s="11" t="n"/>
      <c r="N250" s="19" t="n"/>
      <c r="O250" s="11">
        <f>IF(OR(M250="",N250=""),"",M250*N250)</f>
        <v/>
      </c>
    </row>
    <row r="251">
      <c r="J251" s="18" t="n"/>
      <c r="L251" s="18">
        <f>IF(J251="","",J251+7)</f>
        <v/>
      </c>
      <c r="M251" s="11" t="n"/>
      <c r="N251" s="19" t="n"/>
      <c r="O251" s="11">
        <f>IF(OR(M251="",N251=""),"",M251*N251)</f>
        <v/>
      </c>
    </row>
    <row r="252">
      <c r="J252" s="18" t="n"/>
      <c r="L252" s="18">
        <f>IF(J252="","",J252+7)</f>
        <v/>
      </c>
      <c r="M252" s="11" t="n"/>
      <c r="N252" s="19" t="n"/>
      <c r="O252" s="11">
        <f>IF(OR(M252="",N252=""),"",M252*N252)</f>
        <v/>
      </c>
    </row>
    <row r="253">
      <c r="J253" s="18" t="n"/>
      <c r="L253" s="18">
        <f>IF(J253="","",J253+7)</f>
        <v/>
      </c>
      <c r="M253" s="11" t="n"/>
      <c r="N253" s="19" t="n"/>
      <c r="O253" s="11">
        <f>IF(OR(M253="",N253=""),"",M253*N253)</f>
        <v/>
      </c>
    </row>
    <row r="254">
      <c r="J254" s="18" t="n"/>
      <c r="L254" s="18">
        <f>IF(J254="","",J254+7)</f>
        <v/>
      </c>
      <c r="M254" s="11" t="n"/>
      <c r="N254" s="19" t="n"/>
      <c r="O254" s="11">
        <f>IF(OR(M254="",N254=""),"",M254*N254)</f>
        <v/>
      </c>
    </row>
    <row r="255">
      <c r="J255" s="18" t="n"/>
      <c r="L255" s="18">
        <f>IF(J255="","",J255+7)</f>
        <v/>
      </c>
      <c r="M255" s="11" t="n"/>
      <c r="N255" s="19" t="n"/>
      <c r="O255" s="11">
        <f>IF(OR(M255="",N255=""),"",M255*N255)</f>
        <v/>
      </c>
    </row>
    <row r="256">
      <c r="J256" s="18" t="n"/>
      <c r="L256" s="18">
        <f>IF(J256="","",J256+7)</f>
        <v/>
      </c>
      <c r="M256" s="11" t="n"/>
      <c r="N256" s="19" t="n"/>
      <c r="O256" s="11">
        <f>IF(OR(M256="",N256=""),"",M256*N256)</f>
        <v/>
      </c>
    </row>
    <row r="257">
      <c r="J257" s="18" t="n"/>
      <c r="L257" s="18">
        <f>IF(J257="","",J257+7)</f>
        <v/>
      </c>
      <c r="M257" s="11" t="n"/>
      <c r="N257" s="19" t="n"/>
      <c r="O257" s="11">
        <f>IF(OR(M257="",N257=""),"",M257*N257)</f>
        <v/>
      </c>
    </row>
    <row r="258">
      <c r="J258" s="18" t="n"/>
      <c r="L258" s="18">
        <f>IF(J258="","",J258+7)</f>
        <v/>
      </c>
      <c r="M258" s="11" t="n"/>
      <c r="N258" s="19" t="n"/>
      <c r="O258" s="11">
        <f>IF(OR(M258="",N258=""),"",M258*N258)</f>
        <v/>
      </c>
    </row>
    <row r="259">
      <c r="J259" s="18" t="n"/>
      <c r="L259" s="18">
        <f>IF(J259="","",J259+7)</f>
        <v/>
      </c>
      <c r="M259" s="11" t="n"/>
      <c r="N259" s="19" t="n"/>
      <c r="O259" s="11">
        <f>IF(OR(M259="",N259=""),"",M259*N259)</f>
        <v/>
      </c>
    </row>
    <row r="260">
      <c r="J260" s="18" t="n"/>
      <c r="L260" s="18">
        <f>IF(J260="","",J260+7)</f>
        <v/>
      </c>
      <c r="M260" s="11" t="n"/>
      <c r="N260" s="19" t="n"/>
      <c r="O260" s="11">
        <f>IF(OR(M260="",N260=""),"",M260*N260)</f>
        <v/>
      </c>
    </row>
    <row r="261">
      <c r="J261" s="18" t="n"/>
      <c r="L261" s="18">
        <f>IF(J261="","",J261+7)</f>
        <v/>
      </c>
      <c r="M261" s="11" t="n"/>
      <c r="N261" s="19" t="n"/>
      <c r="O261" s="11">
        <f>IF(OR(M261="",N261=""),"",M261*N261)</f>
        <v/>
      </c>
    </row>
    <row r="262">
      <c r="J262" s="18" t="n"/>
      <c r="L262" s="18">
        <f>IF(J262="","",J262+7)</f>
        <v/>
      </c>
      <c r="M262" s="11" t="n"/>
      <c r="N262" s="19" t="n"/>
      <c r="O262" s="11">
        <f>IF(OR(M262="",N262=""),"",M262*N262)</f>
        <v/>
      </c>
    </row>
    <row r="263">
      <c r="J263" s="18" t="n"/>
      <c r="L263" s="18">
        <f>IF(J263="","",J263+7)</f>
        <v/>
      </c>
      <c r="M263" s="11" t="n"/>
      <c r="N263" s="19" t="n"/>
      <c r="O263" s="11">
        <f>IF(OR(M263="",N263=""),"",M263*N263)</f>
        <v/>
      </c>
    </row>
    <row r="264">
      <c r="J264" s="18" t="n"/>
      <c r="L264" s="18">
        <f>IF(J264="","",J264+7)</f>
        <v/>
      </c>
      <c r="M264" s="11" t="n"/>
      <c r="N264" s="19" t="n"/>
      <c r="O264" s="11">
        <f>IF(OR(M264="",N264=""),"",M264*N264)</f>
        <v/>
      </c>
    </row>
    <row r="265">
      <c r="J265" s="18" t="n"/>
      <c r="L265" s="18">
        <f>IF(J265="","",J265+7)</f>
        <v/>
      </c>
      <c r="M265" s="11" t="n"/>
      <c r="N265" s="19" t="n"/>
      <c r="O265" s="11">
        <f>IF(OR(M265="",N265=""),"",M265*N265)</f>
        <v/>
      </c>
    </row>
    <row r="266">
      <c r="J266" s="18" t="n"/>
      <c r="L266" s="18">
        <f>IF(J266="","",J266+7)</f>
        <v/>
      </c>
      <c r="M266" s="11" t="n"/>
      <c r="N266" s="19" t="n"/>
      <c r="O266" s="11">
        <f>IF(OR(M266="",N266=""),"",M266*N266)</f>
        <v/>
      </c>
    </row>
    <row r="267">
      <c r="J267" s="18" t="n"/>
      <c r="L267" s="18">
        <f>IF(J267="","",J267+7)</f>
        <v/>
      </c>
      <c r="M267" s="11" t="n"/>
      <c r="N267" s="19" t="n"/>
      <c r="O267" s="11">
        <f>IF(OR(M267="",N267=""),"",M267*N267)</f>
        <v/>
      </c>
    </row>
    <row r="268">
      <c r="J268" s="18" t="n"/>
      <c r="L268" s="18">
        <f>IF(J268="","",J268+7)</f>
        <v/>
      </c>
      <c r="M268" s="11" t="n"/>
      <c r="N268" s="19" t="n"/>
      <c r="O268" s="11">
        <f>IF(OR(M268="",N268=""),"",M268*N268)</f>
        <v/>
      </c>
    </row>
    <row r="269">
      <c r="J269" s="18" t="n"/>
      <c r="L269" s="18">
        <f>IF(J269="","",J269+7)</f>
        <v/>
      </c>
      <c r="M269" s="11" t="n"/>
      <c r="N269" s="19" t="n"/>
      <c r="O269" s="11">
        <f>IF(OR(M269="",N269=""),"",M269*N269)</f>
        <v/>
      </c>
    </row>
    <row r="270">
      <c r="J270" s="18" t="n"/>
      <c r="L270" s="18">
        <f>IF(J270="","",J270+7)</f>
        <v/>
      </c>
      <c r="M270" s="11" t="n"/>
      <c r="N270" s="19" t="n"/>
      <c r="O270" s="11">
        <f>IF(OR(M270="",N270=""),"",M270*N270)</f>
        <v/>
      </c>
    </row>
    <row r="271">
      <c r="J271" s="18" t="n"/>
      <c r="L271" s="18">
        <f>IF(J271="","",J271+7)</f>
        <v/>
      </c>
      <c r="M271" s="11" t="n"/>
      <c r="N271" s="19" t="n"/>
      <c r="O271" s="11">
        <f>IF(OR(M271="",N271=""),"",M271*N271)</f>
        <v/>
      </c>
    </row>
    <row r="272">
      <c r="J272" s="18" t="n"/>
      <c r="L272" s="18">
        <f>IF(J272="","",J272+7)</f>
        <v/>
      </c>
      <c r="M272" s="11" t="n"/>
      <c r="N272" s="19" t="n"/>
      <c r="O272" s="11">
        <f>IF(OR(M272="",N272=""),"",M272*N272)</f>
        <v/>
      </c>
    </row>
    <row r="273">
      <c r="J273" s="18" t="n"/>
      <c r="L273" s="18">
        <f>IF(J273="","",J273+7)</f>
        <v/>
      </c>
      <c r="M273" s="11" t="n"/>
      <c r="N273" s="19" t="n"/>
      <c r="O273" s="11">
        <f>IF(OR(M273="",N273=""),"",M273*N273)</f>
        <v/>
      </c>
    </row>
    <row r="274">
      <c r="J274" s="18" t="n"/>
      <c r="L274" s="18">
        <f>IF(J274="","",J274+7)</f>
        <v/>
      </c>
      <c r="M274" s="11" t="n"/>
      <c r="N274" s="19" t="n"/>
      <c r="O274" s="11">
        <f>IF(OR(M274="",N274=""),"",M274*N274)</f>
        <v/>
      </c>
    </row>
    <row r="275">
      <c r="J275" s="18" t="n"/>
      <c r="L275" s="18">
        <f>IF(J275="","",J275+7)</f>
        <v/>
      </c>
      <c r="M275" s="11" t="n"/>
      <c r="N275" s="19" t="n"/>
      <c r="O275" s="11">
        <f>IF(OR(M275="",N275=""),"",M275*N275)</f>
        <v/>
      </c>
    </row>
    <row r="276">
      <c r="J276" s="18" t="n"/>
      <c r="L276" s="18">
        <f>IF(J276="","",J276+7)</f>
        <v/>
      </c>
      <c r="M276" s="11" t="n"/>
      <c r="N276" s="19" t="n"/>
      <c r="O276" s="11">
        <f>IF(OR(M276="",N276=""),"",M276*N276)</f>
        <v/>
      </c>
    </row>
    <row r="277">
      <c r="J277" s="18" t="n"/>
      <c r="L277" s="18">
        <f>IF(J277="","",J277+7)</f>
        <v/>
      </c>
      <c r="M277" s="11" t="n"/>
      <c r="N277" s="19" t="n"/>
      <c r="O277" s="11">
        <f>IF(OR(M277="",N277=""),"",M277*N277)</f>
        <v/>
      </c>
    </row>
    <row r="278">
      <c r="J278" s="18" t="n"/>
      <c r="L278" s="18">
        <f>IF(J278="","",J278+7)</f>
        <v/>
      </c>
      <c r="M278" s="11" t="n"/>
      <c r="N278" s="19" t="n"/>
      <c r="O278" s="11">
        <f>IF(OR(M278="",N278=""),"",M278*N278)</f>
        <v/>
      </c>
    </row>
    <row r="279">
      <c r="J279" s="18" t="n"/>
      <c r="L279" s="18">
        <f>IF(J279="","",J279+7)</f>
        <v/>
      </c>
      <c r="M279" s="11" t="n"/>
      <c r="N279" s="19" t="n"/>
      <c r="O279" s="11">
        <f>IF(OR(M279="",N279=""),"",M279*N279)</f>
        <v/>
      </c>
    </row>
    <row r="280">
      <c r="J280" s="18" t="n"/>
      <c r="L280" s="18">
        <f>IF(J280="","",J280+7)</f>
        <v/>
      </c>
      <c r="M280" s="11" t="n"/>
      <c r="N280" s="19" t="n"/>
      <c r="O280" s="11">
        <f>IF(OR(M280="",N280=""),"",M280*N280)</f>
        <v/>
      </c>
    </row>
    <row r="281">
      <c r="J281" s="18" t="n"/>
      <c r="L281" s="18">
        <f>IF(J281="","",J281+7)</f>
        <v/>
      </c>
      <c r="M281" s="11" t="n"/>
      <c r="N281" s="19" t="n"/>
      <c r="O281" s="11">
        <f>IF(OR(M281="",N281=""),"",M281*N281)</f>
        <v/>
      </c>
    </row>
    <row r="282">
      <c r="J282" s="18" t="n"/>
      <c r="L282" s="18">
        <f>IF(J282="","",J282+7)</f>
        <v/>
      </c>
      <c r="M282" s="11" t="n"/>
      <c r="N282" s="19" t="n"/>
      <c r="O282" s="11">
        <f>IF(OR(M282="",N282=""),"",M282*N282)</f>
        <v/>
      </c>
    </row>
    <row r="283">
      <c r="J283" s="18" t="n"/>
      <c r="L283" s="18">
        <f>IF(J283="","",J283+7)</f>
        <v/>
      </c>
      <c r="M283" s="11" t="n"/>
      <c r="N283" s="19" t="n"/>
      <c r="O283" s="11">
        <f>IF(OR(M283="",N283=""),"",M283*N283)</f>
        <v/>
      </c>
    </row>
    <row r="284">
      <c r="J284" s="18" t="n"/>
      <c r="L284" s="18">
        <f>IF(J284="","",J284+7)</f>
        <v/>
      </c>
      <c r="M284" s="11" t="n"/>
      <c r="N284" s="19" t="n"/>
      <c r="O284" s="11">
        <f>IF(OR(M284="",N284=""),"",M284*N284)</f>
        <v/>
      </c>
    </row>
    <row r="285">
      <c r="J285" s="18" t="n"/>
      <c r="L285" s="18">
        <f>IF(J285="","",J285+7)</f>
        <v/>
      </c>
      <c r="M285" s="11" t="n"/>
      <c r="N285" s="19" t="n"/>
      <c r="O285" s="11">
        <f>IF(OR(M285="",N285=""),"",M285*N285)</f>
        <v/>
      </c>
    </row>
    <row r="286">
      <c r="J286" s="18" t="n"/>
      <c r="L286" s="18">
        <f>IF(J286="","",J286+7)</f>
        <v/>
      </c>
      <c r="M286" s="11" t="n"/>
      <c r="N286" s="19" t="n"/>
      <c r="O286" s="11">
        <f>IF(OR(M286="",N286=""),"",M286*N286)</f>
        <v/>
      </c>
    </row>
    <row r="287">
      <c r="J287" s="18" t="n"/>
      <c r="L287" s="18">
        <f>IF(J287="","",J287+7)</f>
        <v/>
      </c>
      <c r="M287" s="11" t="n"/>
      <c r="N287" s="19" t="n"/>
      <c r="O287" s="11">
        <f>IF(OR(M287="",N287=""),"",M287*N287)</f>
        <v/>
      </c>
    </row>
    <row r="288">
      <c r="J288" s="18" t="n"/>
      <c r="L288" s="18">
        <f>IF(J288="","",J288+7)</f>
        <v/>
      </c>
      <c r="M288" s="11" t="n"/>
      <c r="N288" s="19" t="n"/>
      <c r="O288" s="11">
        <f>IF(OR(M288="",N288=""),"",M288*N288)</f>
        <v/>
      </c>
    </row>
    <row r="289">
      <c r="J289" s="18" t="n"/>
      <c r="L289" s="18">
        <f>IF(J289="","",J289+7)</f>
        <v/>
      </c>
      <c r="M289" s="11" t="n"/>
      <c r="N289" s="19" t="n"/>
      <c r="O289" s="11">
        <f>IF(OR(M289="",N289=""),"",M289*N289)</f>
        <v/>
      </c>
    </row>
    <row r="290">
      <c r="J290" s="18" t="n"/>
      <c r="L290" s="18">
        <f>IF(J290="","",J290+7)</f>
        <v/>
      </c>
      <c r="M290" s="11" t="n"/>
      <c r="N290" s="19" t="n"/>
      <c r="O290" s="11">
        <f>IF(OR(M290="",N290=""),"",M290*N290)</f>
        <v/>
      </c>
    </row>
    <row r="291">
      <c r="J291" s="18" t="n"/>
      <c r="L291" s="18">
        <f>IF(J291="","",J291+7)</f>
        <v/>
      </c>
      <c r="M291" s="11" t="n"/>
      <c r="N291" s="19" t="n"/>
      <c r="O291" s="11">
        <f>IF(OR(M291="",N291=""),"",M291*N291)</f>
        <v/>
      </c>
    </row>
    <row r="292">
      <c r="J292" s="18" t="n"/>
      <c r="L292" s="18">
        <f>IF(J292="","",J292+7)</f>
        <v/>
      </c>
      <c r="M292" s="11" t="n"/>
      <c r="N292" s="19" t="n"/>
      <c r="O292" s="11">
        <f>IF(OR(M292="",N292=""),"",M292*N292)</f>
        <v/>
      </c>
    </row>
    <row r="293">
      <c r="J293" s="18" t="n"/>
      <c r="L293" s="18">
        <f>IF(J293="","",J293+7)</f>
        <v/>
      </c>
      <c r="M293" s="11" t="n"/>
      <c r="N293" s="19" t="n"/>
      <c r="O293" s="11">
        <f>IF(OR(M293="",N293=""),"",M293*N293)</f>
        <v/>
      </c>
    </row>
    <row r="294">
      <c r="J294" s="18" t="n"/>
      <c r="L294" s="18">
        <f>IF(J294="","",J294+7)</f>
        <v/>
      </c>
      <c r="M294" s="11" t="n"/>
      <c r="N294" s="19" t="n"/>
      <c r="O294" s="11">
        <f>IF(OR(M294="",N294=""),"",M294*N294)</f>
        <v/>
      </c>
    </row>
    <row r="295">
      <c r="J295" s="18" t="n"/>
      <c r="L295" s="18">
        <f>IF(J295="","",J295+7)</f>
        <v/>
      </c>
      <c r="M295" s="11" t="n"/>
      <c r="N295" s="19" t="n"/>
      <c r="O295" s="11">
        <f>IF(OR(M295="",N295=""),"",M295*N295)</f>
        <v/>
      </c>
    </row>
    <row r="296">
      <c r="J296" s="18" t="n"/>
      <c r="L296" s="18">
        <f>IF(J296="","",J296+7)</f>
        <v/>
      </c>
      <c r="M296" s="11" t="n"/>
      <c r="N296" s="19" t="n"/>
      <c r="O296" s="11">
        <f>IF(OR(M296="",N296=""),"",M296*N296)</f>
        <v/>
      </c>
    </row>
    <row r="297">
      <c r="J297" s="18" t="n"/>
      <c r="L297" s="18">
        <f>IF(J297="","",J297+7)</f>
        <v/>
      </c>
      <c r="M297" s="11" t="n"/>
      <c r="N297" s="19" t="n"/>
      <c r="O297" s="11">
        <f>IF(OR(M297="",N297=""),"",M297*N297)</f>
        <v/>
      </c>
    </row>
    <row r="298">
      <c r="J298" s="18" t="n"/>
      <c r="L298" s="18">
        <f>IF(J298="","",J298+7)</f>
        <v/>
      </c>
      <c r="M298" s="11" t="n"/>
      <c r="N298" s="19" t="n"/>
      <c r="O298" s="11">
        <f>IF(OR(M298="",N298=""),"",M298*N298)</f>
        <v/>
      </c>
    </row>
    <row r="299">
      <c r="J299" s="18" t="n"/>
      <c r="L299" s="18">
        <f>IF(J299="","",J299+7)</f>
        <v/>
      </c>
      <c r="M299" s="11" t="n"/>
      <c r="N299" s="19" t="n"/>
      <c r="O299" s="11">
        <f>IF(OR(M299="",N299=""),"",M299*N299)</f>
        <v/>
      </c>
    </row>
    <row r="300">
      <c r="J300" s="18" t="n"/>
      <c r="L300" s="18">
        <f>IF(J300="","",J300+7)</f>
        <v/>
      </c>
      <c r="M300" s="11" t="n"/>
      <c r="N300" s="19" t="n"/>
      <c r="O300" s="11">
        <f>IF(OR(M300="",N300=""),"",M300*N300)</f>
        <v/>
      </c>
    </row>
    <row r="301">
      <c r="J301" s="18" t="n"/>
      <c r="L301" s="18">
        <f>IF(J301="","",J301+7)</f>
        <v/>
      </c>
      <c r="M301" s="11" t="n"/>
      <c r="N301" s="19" t="n"/>
      <c r="O301" s="11">
        <f>IF(OR(M301="",N301=""),"",M301*N301)</f>
        <v/>
      </c>
    </row>
    <row r="302">
      <c r="J302" s="18" t="n"/>
      <c r="L302" s="18">
        <f>IF(J302="","",J302+7)</f>
        <v/>
      </c>
      <c r="M302" s="11" t="n"/>
      <c r="N302" s="19" t="n"/>
      <c r="O302" s="11">
        <f>IF(OR(M302="",N302=""),"",M302*N302)</f>
        <v/>
      </c>
    </row>
    <row r="303">
      <c r="J303" s="18" t="n"/>
      <c r="L303" s="18">
        <f>IF(J303="","",J303+7)</f>
        <v/>
      </c>
      <c r="M303" s="11" t="n"/>
      <c r="N303" s="19" t="n"/>
      <c r="O303" s="11">
        <f>IF(OR(M303="",N303=""),"",M303*N303)</f>
        <v/>
      </c>
    </row>
    <row r="304">
      <c r="J304" s="18" t="n"/>
      <c r="L304" s="18">
        <f>IF(J304="","",J304+7)</f>
        <v/>
      </c>
      <c r="M304" s="11" t="n"/>
      <c r="N304" s="19" t="n"/>
      <c r="O304" s="11">
        <f>IF(OR(M304="",N304=""),"",M304*N304)</f>
        <v/>
      </c>
    </row>
    <row r="305">
      <c r="J305" s="18" t="n"/>
      <c r="L305" s="18">
        <f>IF(J305="","",J305+7)</f>
        <v/>
      </c>
      <c r="M305" s="11" t="n"/>
      <c r="N305" s="19" t="n"/>
      <c r="O305" s="11">
        <f>IF(OR(M305="",N305=""),"",M305*N305)</f>
        <v/>
      </c>
    </row>
    <row r="306">
      <c r="J306" s="18" t="n"/>
      <c r="L306" s="18">
        <f>IF(J306="","",J306+7)</f>
        <v/>
      </c>
      <c r="M306" s="11" t="n"/>
      <c r="N306" s="19" t="n"/>
      <c r="O306" s="11">
        <f>IF(OR(M306="",N306=""),"",M306*N306)</f>
        <v/>
      </c>
    </row>
    <row r="307">
      <c r="J307" s="18" t="n"/>
      <c r="L307" s="18">
        <f>IF(J307="","",J307+7)</f>
        <v/>
      </c>
      <c r="M307" s="11" t="n"/>
      <c r="N307" s="19" t="n"/>
      <c r="O307" s="11">
        <f>IF(OR(M307="",N307=""),"",M307*N307)</f>
        <v/>
      </c>
    </row>
    <row r="308">
      <c r="J308" s="18" t="n"/>
      <c r="L308" s="18">
        <f>IF(J308="","",J308+7)</f>
        <v/>
      </c>
      <c r="M308" s="11" t="n"/>
      <c r="N308" s="19" t="n"/>
      <c r="O308" s="11">
        <f>IF(OR(M308="",N308=""),"",M308*N308)</f>
        <v/>
      </c>
    </row>
    <row r="309">
      <c r="J309" s="18" t="n"/>
      <c r="L309" s="18">
        <f>IF(J309="","",J309+7)</f>
        <v/>
      </c>
      <c r="M309" s="11" t="n"/>
      <c r="N309" s="19" t="n"/>
      <c r="O309" s="11">
        <f>IF(OR(M309="",N309=""),"",M309*N309)</f>
        <v/>
      </c>
    </row>
    <row r="310">
      <c r="J310" s="18" t="n"/>
      <c r="L310" s="18">
        <f>IF(J310="","",J310+7)</f>
        <v/>
      </c>
      <c r="M310" s="11" t="n"/>
      <c r="N310" s="19" t="n"/>
      <c r="O310" s="11">
        <f>IF(OR(M310="",N310=""),"",M310*N310)</f>
        <v/>
      </c>
    </row>
    <row r="311">
      <c r="J311" s="18" t="n"/>
      <c r="L311" s="18">
        <f>IF(J311="","",J311+7)</f>
        <v/>
      </c>
      <c r="M311" s="11" t="n"/>
      <c r="N311" s="19" t="n"/>
      <c r="O311" s="11">
        <f>IF(OR(M311="",N311=""),"",M311*N311)</f>
        <v/>
      </c>
    </row>
    <row r="312">
      <c r="J312" s="18" t="n"/>
      <c r="L312" s="18">
        <f>IF(J312="","",J312+7)</f>
        <v/>
      </c>
      <c r="M312" s="11" t="n"/>
      <c r="N312" s="19" t="n"/>
      <c r="O312" s="11">
        <f>IF(OR(M312="",N312=""),"",M312*N312)</f>
        <v/>
      </c>
    </row>
    <row r="313">
      <c r="J313" s="18" t="n"/>
      <c r="L313" s="18">
        <f>IF(J313="","",J313+7)</f>
        <v/>
      </c>
      <c r="M313" s="11" t="n"/>
      <c r="N313" s="19" t="n"/>
      <c r="O313" s="11">
        <f>IF(OR(M313="",N313=""),"",M313*N313)</f>
        <v/>
      </c>
    </row>
    <row r="314">
      <c r="J314" s="18" t="n"/>
      <c r="L314" s="18">
        <f>IF(J314="","",J314+7)</f>
        <v/>
      </c>
      <c r="M314" s="11" t="n"/>
      <c r="N314" s="19" t="n"/>
      <c r="O314" s="11">
        <f>IF(OR(M314="",N314=""),"",M314*N314)</f>
        <v/>
      </c>
    </row>
    <row r="315">
      <c r="J315" s="18" t="n"/>
      <c r="L315" s="18">
        <f>IF(J315="","",J315+7)</f>
        <v/>
      </c>
      <c r="M315" s="11" t="n"/>
      <c r="N315" s="19" t="n"/>
      <c r="O315" s="11">
        <f>IF(OR(M315="",N315=""),"",M315*N315)</f>
        <v/>
      </c>
    </row>
    <row r="316">
      <c r="J316" s="18" t="n"/>
      <c r="L316" s="18">
        <f>IF(J316="","",J316+7)</f>
        <v/>
      </c>
      <c r="M316" s="11" t="n"/>
      <c r="N316" s="19" t="n"/>
      <c r="O316" s="11">
        <f>IF(OR(M316="",N316=""),"",M316*N316)</f>
        <v/>
      </c>
    </row>
    <row r="317">
      <c r="J317" s="18" t="n"/>
      <c r="L317" s="18">
        <f>IF(J317="","",J317+7)</f>
        <v/>
      </c>
      <c r="M317" s="11" t="n"/>
      <c r="N317" s="19" t="n"/>
      <c r="O317" s="11">
        <f>IF(OR(M317="",N317=""),"",M317*N317)</f>
        <v/>
      </c>
    </row>
    <row r="318">
      <c r="J318" s="18" t="n"/>
      <c r="L318" s="18">
        <f>IF(J318="","",J318+7)</f>
        <v/>
      </c>
      <c r="M318" s="11" t="n"/>
      <c r="N318" s="19" t="n"/>
      <c r="O318" s="11">
        <f>IF(OR(M318="",N318=""),"",M318*N318)</f>
        <v/>
      </c>
    </row>
    <row r="319">
      <c r="J319" s="18" t="n"/>
      <c r="L319" s="18">
        <f>IF(J319="","",J319+7)</f>
        <v/>
      </c>
      <c r="M319" s="11" t="n"/>
      <c r="N319" s="19" t="n"/>
      <c r="O319" s="11">
        <f>IF(OR(M319="",N319=""),"",M319*N319)</f>
        <v/>
      </c>
    </row>
    <row r="320">
      <c r="J320" s="18" t="n"/>
      <c r="L320" s="18">
        <f>IF(J320="","",J320+7)</f>
        <v/>
      </c>
      <c r="M320" s="11" t="n"/>
      <c r="N320" s="19" t="n"/>
      <c r="O320" s="11">
        <f>IF(OR(M320="",N320=""),"",M320*N320)</f>
        <v/>
      </c>
    </row>
    <row r="321">
      <c r="J321" s="18" t="n"/>
      <c r="L321" s="18">
        <f>IF(J321="","",J321+7)</f>
        <v/>
      </c>
      <c r="M321" s="11" t="n"/>
      <c r="N321" s="19" t="n"/>
      <c r="O321" s="11">
        <f>IF(OR(M321="",N321=""),"",M321*N321)</f>
        <v/>
      </c>
    </row>
    <row r="322">
      <c r="J322" s="18" t="n"/>
      <c r="L322" s="18">
        <f>IF(J322="","",J322+7)</f>
        <v/>
      </c>
      <c r="M322" s="11" t="n"/>
      <c r="N322" s="19" t="n"/>
      <c r="O322" s="11">
        <f>IF(OR(M322="",N322=""),"",M322*N322)</f>
        <v/>
      </c>
    </row>
    <row r="323">
      <c r="J323" s="18" t="n"/>
      <c r="L323" s="18">
        <f>IF(J323="","",J323+7)</f>
        <v/>
      </c>
      <c r="M323" s="11" t="n"/>
      <c r="N323" s="19" t="n"/>
      <c r="O323" s="11">
        <f>IF(OR(M323="",N323=""),"",M323*N323)</f>
        <v/>
      </c>
    </row>
    <row r="324">
      <c r="J324" s="18" t="n"/>
      <c r="L324" s="18">
        <f>IF(J324="","",J324+7)</f>
        <v/>
      </c>
      <c r="M324" s="11" t="n"/>
      <c r="N324" s="19" t="n"/>
      <c r="O324" s="11">
        <f>IF(OR(M324="",N324=""),"",M324*N324)</f>
        <v/>
      </c>
    </row>
    <row r="325">
      <c r="J325" s="18" t="n"/>
      <c r="L325" s="18">
        <f>IF(J325="","",J325+7)</f>
        <v/>
      </c>
      <c r="M325" s="11" t="n"/>
      <c r="N325" s="19" t="n"/>
      <c r="O325" s="11">
        <f>IF(OR(M325="",N325=""),"",M325*N325)</f>
        <v/>
      </c>
    </row>
    <row r="326">
      <c r="J326" s="18" t="n"/>
      <c r="L326" s="18">
        <f>IF(J326="","",J326+7)</f>
        <v/>
      </c>
      <c r="M326" s="11" t="n"/>
      <c r="N326" s="19" t="n"/>
      <c r="O326" s="11">
        <f>IF(OR(M326="",N326=""),"",M326*N326)</f>
        <v/>
      </c>
    </row>
    <row r="327">
      <c r="J327" s="18" t="n"/>
      <c r="L327" s="18">
        <f>IF(J327="","",J327+7)</f>
        <v/>
      </c>
      <c r="M327" s="11" t="n"/>
      <c r="N327" s="19" t="n"/>
      <c r="O327" s="11">
        <f>IF(OR(M327="",N327=""),"",M327*N327)</f>
        <v/>
      </c>
    </row>
    <row r="328">
      <c r="J328" s="18" t="n"/>
      <c r="L328" s="18">
        <f>IF(J328="","",J328+7)</f>
        <v/>
      </c>
      <c r="M328" s="11" t="n"/>
      <c r="N328" s="19" t="n"/>
      <c r="O328" s="11">
        <f>IF(OR(M328="",N328=""),"",M328*N328)</f>
        <v/>
      </c>
    </row>
    <row r="329">
      <c r="J329" s="18" t="n"/>
      <c r="L329" s="18">
        <f>IF(J329="","",J329+7)</f>
        <v/>
      </c>
      <c r="M329" s="11" t="n"/>
      <c r="N329" s="19" t="n"/>
      <c r="O329" s="11">
        <f>IF(OR(M329="",N329=""),"",M329*N329)</f>
        <v/>
      </c>
    </row>
    <row r="330">
      <c r="J330" s="18" t="n"/>
      <c r="L330" s="18">
        <f>IF(J330="","",J330+7)</f>
        <v/>
      </c>
      <c r="M330" s="11" t="n"/>
      <c r="N330" s="19" t="n"/>
      <c r="O330" s="11">
        <f>IF(OR(M330="",N330=""),"",M330*N330)</f>
        <v/>
      </c>
    </row>
    <row r="331">
      <c r="J331" s="18" t="n"/>
      <c r="L331" s="18">
        <f>IF(J331="","",J331+7)</f>
        <v/>
      </c>
      <c r="M331" s="11" t="n"/>
      <c r="N331" s="19" t="n"/>
      <c r="O331" s="11">
        <f>IF(OR(M331="",N331=""),"",M331*N331)</f>
        <v/>
      </c>
    </row>
    <row r="332">
      <c r="J332" s="18" t="n"/>
      <c r="L332" s="18">
        <f>IF(J332="","",J332+7)</f>
        <v/>
      </c>
      <c r="M332" s="11" t="n"/>
      <c r="N332" s="19" t="n"/>
      <c r="O332" s="11">
        <f>IF(OR(M332="",N332=""),"",M332*N332)</f>
        <v/>
      </c>
    </row>
    <row r="333">
      <c r="J333" s="18" t="n"/>
      <c r="L333" s="18">
        <f>IF(J333="","",J333+7)</f>
        <v/>
      </c>
      <c r="M333" s="11" t="n"/>
      <c r="N333" s="19" t="n"/>
      <c r="O333" s="11">
        <f>IF(OR(M333="",N333=""),"",M333*N333)</f>
        <v/>
      </c>
    </row>
    <row r="334">
      <c r="J334" s="18" t="n"/>
      <c r="L334" s="18">
        <f>IF(J334="","",J334+7)</f>
        <v/>
      </c>
      <c r="M334" s="11" t="n"/>
      <c r="N334" s="19" t="n"/>
      <c r="O334" s="11">
        <f>IF(OR(M334="",N334=""),"",M334*N334)</f>
        <v/>
      </c>
    </row>
    <row r="335">
      <c r="J335" s="18" t="n"/>
      <c r="L335" s="18">
        <f>IF(J335="","",J335+7)</f>
        <v/>
      </c>
      <c r="M335" s="11" t="n"/>
      <c r="N335" s="19" t="n"/>
      <c r="O335" s="11">
        <f>IF(OR(M335="",N335=""),"",M335*N335)</f>
        <v/>
      </c>
    </row>
    <row r="336">
      <c r="J336" s="18" t="n"/>
      <c r="L336" s="18">
        <f>IF(J336="","",J336+7)</f>
        <v/>
      </c>
      <c r="M336" s="11" t="n"/>
      <c r="N336" s="19" t="n"/>
      <c r="O336" s="11">
        <f>IF(OR(M336="",N336=""),"",M336*N336)</f>
        <v/>
      </c>
    </row>
    <row r="337">
      <c r="J337" s="18" t="n"/>
      <c r="L337" s="18">
        <f>IF(J337="","",J337+7)</f>
        <v/>
      </c>
      <c r="M337" s="11" t="n"/>
      <c r="N337" s="19" t="n"/>
      <c r="O337" s="11">
        <f>IF(OR(M337="",N337=""),"",M337*N337)</f>
        <v/>
      </c>
    </row>
    <row r="338">
      <c r="J338" s="18" t="n"/>
      <c r="L338" s="18">
        <f>IF(J338="","",J338+7)</f>
        <v/>
      </c>
      <c r="M338" s="11" t="n"/>
      <c r="N338" s="19" t="n"/>
      <c r="O338" s="11">
        <f>IF(OR(M338="",N338=""),"",M338*N338)</f>
        <v/>
      </c>
    </row>
    <row r="339">
      <c r="J339" s="18" t="n"/>
      <c r="L339" s="18">
        <f>IF(J339="","",J339+7)</f>
        <v/>
      </c>
      <c r="M339" s="11" t="n"/>
      <c r="N339" s="19" t="n"/>
      <c r="O339" s="11">
        <f>IF(OR(M339="",N339=""),"",M339*N339)</f>
        <v/>
      </c>
    </row>
    <row r="340">
      <c r="J340" s="18" t="n"/>
      <c r="L340" s="18">
        <f>IF(J340="","",J340+7)</f>
        <v/>
      </c>
      <c r="M340" s="11" t="n"/>
      <c r="N340" s="19" t="n"/>
      <c r="O340" s="11">
        <f>IF(OR(M340="",N340=""),"",M340*N340)</f>
        <v/>
      </c>
    </row>
    <row r="341">
      <c r="J341" s="18" t="n"/>
      <c r="L341" s="18">
        <f>IF(J341="","",J341+7)</f>
        <v/>
      </c>
      <c r="M341" s="11" t="n"/>
      <c r="N341" s="19" t="n"/>
      <c r="O341" s="11">
        <f>IF(OR(M341="",N341=""),"",M341*N341)</f>
        <v/>
      </c>
    </row>
    <row r="342">
      <c r="J342" s="18" t="n"/>
      <c r="L342" s="18">
        <f>IF(J342="","",J342+7)</f>
        <v/>
      </c>
      <c r="M342" s="11" t="n"/>
      <c r="N342" s="19" t="n"/>
      <c r="O342" s="11">
        <f>IF(OR(M342="",N342=""),"",M342*N342)</f>
        <v/>
      </c>
    </row>
    <row r="343">
      <c r="J343" s="18" t="n"/>
      <c r="L343" s="18">
        <f>IF(J343="","",J343+7)</f>
        <v/>
      </c>
      <c r="M343" s="11" t="n"/>
      <c r="N343" s="19" t="n"/>
      <c r="O343" s="11">
        <f>IF(OR(M343="",N343=""),"",M343*N343)</f>
        <v/>
      </c>
    </row>
    <row r="344">
      <c r="J344" s="18" t="n"/>
      <c r="L344" s="18">
        <f>IF(J344="","",J344+7)</f>
        <v/>
      </c>
      <c r="M344" s="11" t="n"/>
      <c r="N344" s="19" t="n"/>
      <c r="O344" s="11">
        <f>IF(OR(M344="",N344=""),"",M344*N344)</f>
        <v/>
      </c>
    </row>
    <row r="345">
      <c r="J345" s="18" t="n"/>
      <c r="L345" s="18">
        <f>IF(J345="","",J345+7)</f>
        <v/>
      </c>
      <c r="M345" s="11" t="n"/>
      <c r="N345" s="19" t="n"/>
      <c r="O345" s="11">
        <f>IF(OR(M345="",N345=""),"",M345*N345)</f>
        <v/>
      </c>
    </row>
    <row r="346">
      <c r="J346" s="18" t="n"/>
      <c r="L346" s="18">
        <f>IF(J346="","",J346+7)</f>
        <v/>
      </c>
      <c r="M346" s="11" t="n"/>
      <c r="N346" s="19" t="n"/>
      <c r="O346" s="11">
        <f>IF(OR(M346="",N346=""),"",M346*N346)</f>
        <v/>
      </c>
    </row>
    <row r="347">
      <c r="J347" s="18" t="n"/>
      <c r="L347" s="18">
        <f>IF(J347="","",J347+7)</f>
        <v/>
      </c>
      <c r="M347" s="11" t="n"/>
      <c r="N347" s="19" t="n"/>
      <c r="O347" s="11">
        <f>IF(OR(M347="",N347=""),"",M347*N347)</f>
        <v/>
      </c>
    </row>
    <row r="348">
      <c r="J348" s="18" t="n"/>
      <c r="L348" s="18">
        <f>IF(J348="","",J348+7)</f>
        <v/>
      </c>
      <c r="M348" s="11" t="n"/>
      <c r="N348" s="19" t="n"/>
      <c r="O348" s="11">
        <f>IF(OR(M348="",N348=""),"",M348*N348)</f>
        <v/>
      </c>
    </row>
    <row r="349">
      <c r="J349" s="18" t="n"/>
      <c r="L349" s="18">
        <f>IF(J349="","",J349+7)</f>
        <v/>
      </c>
      <c r="M349" s="11" t="n"/>
      <c r="N349" s="19" t="n"/>
      <c r="O349" s="11">
        <f>IF(OR(M349="",N349=""),"",M349*N349)</f>
        <v/>
      </c>
    </row>
    <row r="350">
      <c r="J350" s="18" t="n"/>
      <c r="L350" s="18">
        <f>IF(J350="","",J350+7)</f>
        <v/>
      </c>
      <c r="M350" s="11" t="n"/>
      <c r="N350" s="19" t="n"/>
      <c r="O350" s="11">
        <f>IF(OR(M350="",N350=""),"",M350*N350)</f>
        <v/>
      </c>
    </row>
    <row r="351">
      <c r="J351" s="18" t="n"/>
      <c r="L351" s="18">
        <f>IF(J351="","",J351+7)</f>
        <v/>
      </c>
      <c r="M351" s="11" t="n"/>
      <c r="N351" s="19" t="n"/>
      <c r="O351" s="11">
        <f>IF(OR(M351="",N351=""),"",M351*N351)</f>
        <v/>
      </c>
    </row>
    <row r="352">
      <c r="J352" s="18" t="n"/>
      <c r="L352" s="18">
        <f>IF(J352="","",J352+7)</f>
        <v/>
      </c>
      <c r="M352" s="11" t="n"/>
      <c r="N352" s="19" t="n"/>
      <c r="O352" s="11">
        <f>IF(OR(M352="",N352=""),"",M352*N352)</f>
        <v/>
      </c>
    </row>
    <row r="353">
      <c r="J353" s="18" t="n"/>
      <c r="L353" s="18">
        <f>IF(J353="","",J353+7)</f>
        <v/>
      </c>
      <c r="M353" s="11" t="n"/>
      <c r="N353" s="19" t="n"/>
      <c r="O353" s="11">
        <f>IF(OR(M353="",N353=""),"",M353*N353)</f>
        <v/>
      </c>
    </row>
    <row r="354">
      <c r="J354" s="18" t="n"/>
      <c r="L354" s="18">
        <f>IF(J354="","",J354+7)</f>
        <v/>
      </c>
      <c r="M354" s="11" t="n"/>
      <c r="N354" s="19" t="n"/>
      <c r="O354" s="11">
        <f>IF(OR(M354="",N354=""),"",M354*N354)</f>
        <v/>
      </c>
    </row>
    <row r="355">
      <c r="J355" s="18" t="n"/>
      <c r="L355" s="18">
        <f>IF(J355="","",J355+7)</f>
        <v/>
      </c>
      <c r="M355" s="11" t="n"/>
      <c r="N355" s="19" t="n"/>
      <c r="O355" s="11">
        <f>IF(OR(M355="",N355=""),"",M355*N355)</f>
        <v/>
      </c>
    </row>
    <row r="356">
      <c r="J356" s="18" t="n"/>
      <c r="L356" s="18">
        <f>IF(J356="","",J356+7)</f>
        <v/>
      </c>
      <c r="M356" s="11" t="n"/>
      <c r="N356" s="19" t="n"/>
      <c r="O356" s="11">
        <f>IF(OR(M356="",N356=""),"",M356*N356)</f>
        <v/>
      </c>
    </row>
    <row r="357">
      <c r="J357" s="18" t="n"/>
      <c r="L357" s="18">
        <f>IF(J357="","",J357+7)</f>
        <v/>
      </c>
      <c r="M357" s="11" t="n"/>
      <c r="N357" s="19" t="n"/>
      <c r="O357" s="11">
        <f>IF(OR(M357="",N357=""),"",M357*N357)</f>
        <v/>
      </c>
    </row>
    <row r="358">
      <c r="J358" s="18" t="n"/>
      <c r="L358" s="18">
        <f>IF(J358="","",J358+7)</f>
        <v/>
      </c>
      <c r="M358" s="11" t="n"/>
      <c r="N358" s="19" t="n"/>
      <c r="O358" s="11">
        <f>IF(OR(M358="",N358=""),"",M358*N358)</f>
        <v/>
      </c>
    </row>
    <row r="359">
      <c r="J359" s="18" t="n"/>
      <c r="L359" s="18">
        <f>IF(J359="","",J359+7)</f>
        <v/>
      </c>
      <c r="M359" s="11" t="n"/>
      <c r="N359" s="19" t="n"/>
      <c r="O359" s="11">
        <f>IF(OR(M359="",N359=""),"",M359*N359)</f>
        <v/>
      </c>
    </row>
    <row r="360">
      <c r="J360" s="18" t="n"/>
      <c r="L360" s="18">
        <f>IF(J360="","",J360+7)</f>
        <v/>
      </c>
      <c r="M360" s="11" t="n"/>
      <c r="N360" s="19" t="n"/>
      <c r="O360" s="11">
        <f>IF(OR(M360="",N360=""),"",M360*N360)</f>
        <v/>
      </c>
    </row>
    <row r="361">
      <c r="J361" s="18" t="n"/>
      <c r="L361" s="18">
        <f>IF(J361="","",J361+7)</f>
        <v/>
      </c>
      <c r="M361" s="11" t="n"/>
      <c r="N361" s="19" t="n"/>
      <c r="O361" s="11">
        <f>IF(OR(M361="",N361=""),"",M361*N361)</f>
        <v/>
      </c>
    </row>
    <row r="362">
      <c r="J362" s="18" t="n"/>
      <c r="L362" s="18">
        <f>IF(J362="","",J362+7)</f>
        <v/>
      </c>
      <c r="M362" s="11" t="n"/>
      <c r="N362" s="19" t="n"/>
      <c r="O362" s="11">
        <f>IF(OR(M362="",N362=""),"",M362*N362)</f>
        <v/>
      </c>
    </row>
    <row r="363">
      <c r="J363" s="18" t="n"/>
      <c r="L363" s="18">
        <f>IF(J363="","",J363+7)</f>
        <v/>
      </c>
      <c r="M363" s="11" t="n"/>
      <c r="N363" s="19" t="n"/>
      <c r="O363" s="11">
        <f>IF(OR(M363="",N363=""),"",M363*N363)</f>
        <v/>
      </c>
    </row>
    <row r="364">
      <c r="J364" s="18" t="n"/>
      <c r="L364" s="18">
        <f>IF(J364="","",J364+7)</f>
        <v/>
      </c>
      <c r="M364" s="11" t="n"/>
      <c r="N364" s="19" t="n"/>
      <c r="O364" s="11">
        <f>IF(OR(M364="",N364=""),"",M364*N364)</f>
        <v/>
      </c>
    </row>
    <row r="365">
      <c r="J365" s="18" t="n"/>
      <c r="L365" s="18">
        <f>IF(J365="","",J365+7)</f>
        <v/>
      </c>
      <c r="M365" s="11" t="n"/>
      <c r="N365" s="19" t="n"/>
      <c r="O365" s="11">
        <f>IF(OR(M365="",N365=""),"",M365*N365)</f>
        <v/>
      </c>
    </row>
    <row r="366">
      <c r="J366" s="18" t="n"/>
      <c r="L366" s="18">
        <f>IF(J366="","",J366+7)</f>
        <v/>
      </c>
      <c r="M366" s="11" t="n"/>
      <c r="N366" s="19" t="n"/>
      <c r="O366" s="11">
        <f>IF(OR(M366="",N366=""),"",M366*N366)</f>
        <v/>
      </c>
    </row>
    <row r="367">
      <c r="J367" s="18" t="n"/>
      <c r="L367" s="18">
        <f>IF(J367="","",J367+7)</f>
        <v/>
      </c>
      <c r="M367" s="11" t="n"/>
      <c r="N367" s="19" t="n"/>
      <c r="O367" s="11">
        <f>IF(OR(M367="",N367=""),"",M367*N367)</f>
        <v/>
      </c>
    </row>
    <row r="368">
      <c r="J368" s="18" t="n"/>
      <c r="L368" s="18">
        <f>IF(J368="","",J368+7)</f>
        <v/>
      </c>
      <c r="M368" s="11" t="n"/>
      <c r="N368" s="19" t="n"/>
      <c r="O368" s="11">
        <f>IF(OR(M368="",N368=""),"",M368*N368)</f>
        <v/>
      </c>
    </row>
    <row r="369">
      <c r="J369" s="18" t="n"/>
      <c r="L369" s="18">
        <f>IF(J369="","",J369+7)</f>
        <v/>
      </c>
      <c r="M369" s="11" t="n"/>
      <c r="N369" s="19" t="n"/>
      <c r="O369" s="11">
        <f>IF(OR(M369="",N369=""),"",M369*N369)</f>
        <v/>
      </c>
    </row>
    <row r="370">
      <c r="J370" s="18" t="n"/>
      <c r="L370" s="18">
        <f>IF(J370="","",J370+7)</f>
        <v/>
      </c>
      <c r="M370" s="11" t="n"/>
      <c r="N370" s="19" t="n"/>
      <c r="O370" s="11">
        <f>IF(OR(M370="",N370=""),"",M370*N370)</f>
        <v/>
      </c>
    </row>
    <row r="371">
      <c r="J371" s="18" t="n"/>
      <c r="L371" s="18">
        <f>IF(J371="","",J371+7)</f>
        <v/>
      </c>
      <c r="M371" s="11" t="n"/>
      <c r="N371" s="19" t="n"/>
      <c r="O371" s="11">
        <f>IF(OR(M371="",N371=""),"",M371*N371)</f>
        <v/>
      </c>
    </row>
    <row r="372">
      <c r="J372" s="18" t="n"/>
      <c r="L372" s="18">
        <f>IF(J372="","",J372+7)</f>
        <v/>
      </c>
      <c r="M372" s="11" t="n"/>
      <c r="N372" s="19" t="n"/>
      <c r="O372" s="11">
        <f>IF(OR(M372="",N372=""),"",M372*N372)</f>
        <v/>
      </c>
    </row>
    <row r="373">
      <c r="J373" s="18" t="n"/>
      <c r="L373" s="18">
        <f>IF(J373="","",J373+7)</f>
        <v/>
      </c>
      <c r="M373" s="11" t="n"/>
      <c r="N373" s="19" t="n"/>
      <c r="O373" s="11">
        <f>IF(OR(M373="",N373=""),"",M373*N373)</f>
        <v/>
      </c>
    </row>
    <row r="374">
      <c r="J374" s="18" t="n"/>
      <c r="L374" s="18">
        <f>IF(J374="","",J374+7)</f>
        <v/>
      </c>
      <c r="M374" s="11" t="n"/>
      <c r="N374" s="19" t="n"/>
      <c r="O374" s="11">
        <f>IF(OR(M374="",N374=""),"",M374*N374)</f>
        <v/>
      </c>
    </row>
    <row r="375">
      <c r="J375" s="18" t="n"/>
      <c r="L375" s="18">
        <f>IF(J375="","",J375+7)</f>
        <v/>
      </c>
      <c r="M375" s="11" t="n"/>
      <c r="N375" s="19" t="n"/>
      <c r="O375" s="11">
        <f>IF(OR(M375="",N375=""),"",M375*N375)</f>
        <v/>
      </c>
    </row>
    <row r="376">
      <c r="J376" s="18" t="n"/>
      <c r="L376" s="18">
        <f>IF(J376="","",J376+7)</f>
        <v/>
      </c>
      <c r="M376" s="11" t="n"/>
      <c r="N376" s="19" t="n"/>
      <c r="O376" s="11">
        <f>IF(OR(M376="",N376=""),"",M376*N376)</f>
        <v/>
      </c>
    </row>
    <row r="377">
      <c r="J377" s="18" t="n"/>
      <c r="L377" s="18">
        <f>IF(J377="","",J377+7)</f>
        <v/>
      </c>
      <c r="M377" s="11" t="n"/>
      <c r="N377" s="19" t="n"/>
      <c r="O377" s="11">
        <f>IF(OR(M377="",N377=""),"",M377*N377)</f>
        <v/>
      </c>
    </row>
    <row r="378">
      <c r="J378" s="18" t="n"/>
      <c r="L378" s="18">
        <f>IF(J378="","",J378+7)</f>
        <v/>
      </c>
      <c r="M378" s="11" t="n"/>
      <c r="N378" s="19" t="n"/>
      <c r="O378" s="11">
        <f>IF(OR(M378="",N378=""),"",M378*N378)</f>
        <v/>
      </c>
    </row>
    <row r="379">
      <c r="J379" s="18" t="n"/>
      <c r="L379" s="18">
        <f>IF(J379="","",J379+7)</f>
        <v/>
      </c>
      <c r="M379" s="11" t="n"/>
      <c r="N379" s="19" t="n"/>
      <c r="O379" s="11">
        <f>IF(OR(M379="",N379=""),"",M379*N379)</f>
        <v/>
      </c>
    </row>
    <row r="380">
      <c r="J380" s="18" t="n"/>
      <c r="L380" s="18">
        <f>IF(J380="","",J380+7)</f>
        <v/>
      </c>
      <c r="M380" s="11" t="n"/>
      <c r="N380" s="19" t="n"/>
      <c r="O380" s="11">
        <f>IF(OR(M380="",N380=""),"",M380*N380)</f>
        <v/>
      </c>
    </row>
    <row r="381">
      <c r="J381" s="18" t="n"/>
      <c r="L381" s="18">
        <f>IF(J381="","",J381+7)</f>
        <v/>
      </c>
      <c r="M381" s="11" t="n"/>
      <c r="N381" s="19" t="n"/>
      <c r="O381" s="11">
        <f>IF(OR(M381="",N381=""),"",M381*N381)</f>
        <v/>
      </c>
    </row>
    <row r="382">
      <c r="J382" s="18" t="n"/>
      <c r="L382" s="18">
        <f>IF(J382="","",J382+7)</f>
        <v/>
      </c>
      <c r="M382" s="11" t="n"/>
      <c r="N382" s="19" t="n"/>
      <c r="O382" s="11">
        <f>IF(OR(M382="",N382=""),"",M382*N382)</f>
        <v/>
      </c>
    </row>
    <row r="383">
      <c r="J383" s="18" t="n"/>
      <c r="L383" s="18">
        <f>IF(J383="","",J383+7)</f>
        <v/>
      </c>
      <c r="M383" s="11" t="n"/>
      <c r="N383" s="19" t="n"/>
      <c r="O383" s="11">
        <f>IF(OR(M383="",N383=""),"",M383*N383)</f>
        <v/>
      </c>
    </row>
    <row r="384">
      <c r="J384" s="18" t="n"/>
      <c r="L384" s="18">
        <f>IF(J384="","",J384+7)</f>
        <v/>
      </c>
      <c r="M384" s="11" t="n"/>
      <c r="N384" s="19" t="n"/>
      <c r="O384" s="11">
        <f>IF(OR(M384="",N384=""),"",M384*N384)</f>
        <v/>
      </c>
    </row>
    <row r="385">
      <c r="J385" s="18" t="n"/>
      <c r="L385" s="18">
        <f>IF(J385="","",J385+7)</f>
        <v/>
      </c>
      <c r="M385" s="11" t="n"/>
      <c r="N385" s="19" t="n"/>
      <c r="O385" s="11">
        <f>IF(OR(M385="",N385=""),"",M385*N385)</f>
        <v/>
      </c>
    </row>
    <row r="386">
      <c r="J386" s="18" t="n"/>
      <c r="L386" s="18">
        <f>IF(J386="","",J386+7)</f>
        <v/>
      </c>
      <c r="M386" s="11" t="n"/>
      <c r="N386" s="19" t="n"/>
      <c r="O386" s="11">
        <f>IF(OR(M386="",N386=""),"",M386*N386)</f>
        <v/>
      </c>
    </row>
    <row r="387">
      <c r="J387" s="18" t="n"/>
      <c r="L387" s="18">
        <f>IF(J387="","",J387+7)</f>
        <v/>
      </c>
      <c r="M387" s="11" t="n"/>
      <c r="N387" s="19" t="n"/>
      <c r="O387" s="11">
        <f>IF(OR(M387="",N387=""),"",M387*N387)</f>
        <v/>
      </c>
    </row>
    <row r="388">
      <c r="J388" s="18" t="n"/>
      <c r="L388" s="18">
        <f>IF(J388="","",J388+7)</f>
        <v/>
      </c>
      <c r="M388" s="11" t="n"/>
      <c r="N388" s="19" t="n"/>
      <c r="O388" s="11">
        <f>IF(OR(M388="",N388=""),"",M388*N388)</f>
        <v/>
      </c>
    </row>
    <row r="389">
      <c r="J389" s="18" t="n"/>
      <c r="L389" s="18">
        <f>IF(J389="","",J389+7)</f>
        <v/>
      </c>
      <c r="M389" s="11" t="n"/>
      <c r="N389" s="19" t="n"/>
      <c r="O389" s="11">
        <f>IF(OR(M389="",N389=""),"",M389*N389)</f>
        <v/>
      </c>
    </row>
    <row r="390">
      <c r="J390" s="18" t="n"/>
      <c r="L390" s="18">
        <f>IF(J390="","",J390+7)</f>
        <v/>
      </c>
      <c r="M390" s="11" t="n"/>
      <c r="N390" s="19" t="n"/>
      <c r="O390" s="11">
        <f>IF(OR(M390="",N390=""),"",M390*N390)</f>
        <v/>
      </c>
    </row>
    <row r="391">
      <c r="J391" s="18" t="n"/>
      <c r="L391" s="18">
        <f>IF(J391="","",J391+7)</f>
        <v/>
      </c>
      <c r="M391" s="11" t="n"/>
      <c r="N391" s="19" t="n"/>
      <c r="O391" s="11">
        <f>IF(OR(M391="",N391=""),"",M391*N391)</f>
        <v/>
      </c>
    </row>
    <row r="392">
      <c r="J392" s="18" t="n"/>
      <c r="L392" s="18">
        <f>IF(J392="","",J392+7)</f>
        <v/>
      </c>
      <c r="M392" s="11" t="n"/>
      <c r="N392" s="19" t="n"/>
      <c r="O392" s="11">
        <f>IF(OR(M392="",N392=""),"",M392*N392)</f>
        <v/>
      </c>
    </row>
    <row r="393">
      <c r="J393" s="18" t="n"/>
      <c r="L393" s="18">
        <f>IF(J393="","",J393+7)</f>
        <v/>
      </c>
      <c r="M393" s="11" t="n"/>
      <c r="N393" s="19" t="n"/>
      <c r="O393" s="11">
        <f>IF(OR(M393="",N393=""),"",M393*N393)</f>
        <v/>
      </c>
    </row>
    <row r="394">
      <c r="J394" s="18" t="n"/>
      <c r="L394" s="18">
        <f>IF(J394="","",J394+7)</f>
        <v/>
      </c>
      <c r="M394" s="11" t="n"/>
      <c r="N394" s="19" t="n"/>
      <c r="O394" s="11">
        <f>IF(OR(M394="",N394=""),"",M394*N394)</f>
        <v/>
      </c>
    </row>
    <row r="395">
      <c r="J395" s="18" t="n"/>
      <c r="L395" s="18">
        <f>IF(J395="","",J395+7)</f>
        <v/>
      </c>
      <c r="M395" s="11" t="n"/>
      <c r="N395" s="19" t="n"/>
      <c r="O395" s="11">
        <f>IF(OR(M395="",N395=""),"",M395*N395)</f>
        <v/>
      </c>
    </row>
    <row r="396">
      <c r="J396" s="18" t="n"/>
      <c r="L396" s="18">
        <f>IF(J396="","",J396+7)</f>
        <v/>
      </c>
      <c r="M396" s="11" t="n"/>
      <c r="N396" s="19" t="n"/>
      <c r="O396" s="11">
        <f>IF(OR(M396="",N396=""),"",M396*N396)</f>
        <v/>
      </c>
    </row>
    <row r="397">
      <c r="J397" s="18" t="n"/>
      <c r="L397" s="18">
        <f>IF(J397="","",J397+7)</f>
        <v/>
      </c>
      <c r="M397" s="11" t="n"/>
      <c r="N397" s="19" t="n"/>
      <c r="O397" s="11">
        <f>IF(OR(M397="",N397=""),"",M397*N397)</f>
        <v/>
      </c>
    </row>
    <row r="398">
      <c r="J398" s="18" t="n"/>
      <c r="L398" s="18">
        <f>IF(J398="","",J398+7)</f>
        <v/>
      </c>
      <c r="M398" s="11" t="n"/>
      <c r="N398" s="19" t="n"/>
      <c r="O398" s="11">
        <f>IF(OR(M398="",N398=""),"",M398*N398)</f>
        <v/>
      </c>
    </row>
    <row r="399">
      <c r="J399" s="18" t="n"/>
      <c r="L399" s="18">
        <f>IF(J399="","",J399+7)</f>
        <v/>
      </c>
      <c r="M399" s="11" t="n"/>
      <c r="N399" s="19" t="n"/>
      <c r="O399" s="11">
        <f>IF(OR(M399="",N399=""),"",M399*N399)</f>
        <v/>
      </c>
    </row>
    <row r="400">
      <c r="J400" s="18" t="n"/>
      <c r="L400" s="18">
        <f>IF(J400="","",J400+7)</f>
        <v/>
      </c>
      <c r="M400" s="11" t="n"/>
      <c r="N400" s="19" t="n"/>
      <c r="O400" s="11">
        <f>IF(OR(M400="",N400=""),"",M400*N400)</f>
        <v/>
      </c>
    </row>
    <row r="401">
      <c r="J401" s="18" t="n"/>
      <c r="L401" s="18">
        <f>IF(J401="","",J401+7)</f>
        <v/>
      </c>
      <c r="M401" s="11" t="n"/>
      <c r="N401" s="19" t="n"/>
      <c r="O401" s="11">
        <f>IF(OR(M401="",N401=""),"",M401*N401)</f>
        <v/>
      </c>
    </row>
    <row r="402">
      <c r="J402" s="18" t="n"/>
      <c r="L402" s="18">
        <f>IF(J402="","",J402+7)</f>
        <v/>
      </c>
      <c r="M402" s="11" t="n"/>
      <c r="N402" s="19" t="n"/>
      <c r="O402" s="11">
        <f>IF(OR(M402="",N402=""),"",M402*N402)</f>
        <v/>
      </c>
    </row>
    <row r="403">
      <c r="J403" s="18" t="n"/>
      <c r="L403" s="18">
        <f>IF(J403="","",J403+7)</f>
        <v/>
      </c>
      <c r="M403" s="11" t="n"/>
      <c r="N403" s="19" t="n"/>
      <c r="O403" s="11">
        <f>IF(OR(M403="",N403=""),"",M403*N403)</f>
        <v/>
      </c>
    </row>
    <row r="404">
      <c r="J404" s="18" t="n"/>
      <c r="L404" s="18">
        <f>IF(J404="","",J404+7)</f>
        <v/>
      </c>
      <c r="M404" s="11" t="n"/>
      <c r="N404" s="19" t="n"/>
      <c r="O404" s="11">
        <f>IF(OR(M404="",N404=""),"",M404*N404)</f>
        <v/>
      </c>
    </row>
    <row r="405">
      <c r="J405" s="18" t="n"/>
      <c r="L405" s="18">
        <f>IF(J405="","",J405+7)</f>
        <v/>
      </c>
      <c r="M405" s="11" t="n"/>
      <c r="N405" s="19" t="n"/>
      <c r="O405" s="11">
        <f>IF(OR(M405="",N405=""),"",M405*N405)</f>
        <v/>
      </c>
    </row>
    <row r="406">
      <c r="J406" s="18" t="n"/>
      <c r="L406" s="18">
        <f>IF(J406="","",J406+7)</f>
        <v/>
      </c>
      <c r="M406" s="11" t="n"/>
      <c r="N406" s="19" t="n"/>
      <c r="O406" s="11">
        <f>IF(OR(M406="",N406=""),"",M406*N406)</f>
        <v/>
      </c>
    </row>
    <row r="407">
      <c r="J407" s="18" t="n"/>
      <c r="L407" s="18">
        <f>IF(J407="","",J407+7)</f>
        <v/>
      </c>
      <c r="M407" s="11" t="n"/>
      <c r="N407" s="19" t="n"/>
      <c r="O407" s="11">
        <f>IF(OR(M407="",N407=""),"",M407*N407)</f>
        <v/>
      </c>
    </row>
    <row r="408">
      <c r="J408" s="18" t="n"/>
      <c r="L408" s="18">
        <f>IF(J408="","",J408+7)</f>
        <v/>
      </c>
      <c r="M408" s="11" t="n"/>
      <c r="N408" s="19" t="n"/>
      <c r="O408" s="11">
        <f>IF(OR(M408="",N408=""),"",M408*N408)</f>
        <v/>
      </c>
    </row>
    <row r="409">
      <c r="J409" s="18" t="n"/>
      <c r="L409" s="18">
        <f>IF(J409="","",J409+7)</f>
        <v/>
      </c>
      <c r="M409" s="11" t="n"/>
      <c r="N409" s="19" t="n"/>
      <c r="O409" s="11">
        <f>IF(OR(M409="",N409=""),"",M409*N409)</f>
        <v/>
      </c>
    </row>
    <row r="410">
      <c r="J410" s="18" t="n"/>
      <c r="L410" s="18">
        <f>IF(J410="","",J410+7)</f>
        <v/>
      </c>
      <c r="M410" s="11" t="n"/>
      <c r="N410" s="19" t="n"/>
      <c r="O410" s="11">
        <f>IF(OR(M410="",N410=""),"",M410*N410)</f>
        <v/>
      </c>
    </row>
    <row r="411">
      <c r="J411" s="18" t="n"/>
      <c r="L411" s="18">
        <f>IF(J411="","",J411+7)</f>
        <v/>
      </c>
      <c r="M411" s="11" t="n"/>
      <c r="N411" s="19" t="n"/>
      <c r="O411" s="11">
        <f>IF(OR(M411="",N411=""),"",M411*N411)</f>
        <v/>
      </c>
    </row>
    <row r="412">
      <c r="J412" s="18" t="n"/>
      <c r="L412" s="18">
        <f>IF(J412="","",J412+7)</f>
        <v/>
      </c>
      <c r="M412" s="11" t="n"/>
      <c r="N412" s="19" t="n"/>
      <c r="O412" s="11">
        <f>IF(OR(M412="",N412=""),"",M412*N412)</f>
        <v/>
      </c>
    </row>
    <row r="413">
      <c r="J413" s="18" t="n"/>
      <c r="L413" s="18">
        <f>IF(J413="","",J413+7)</f>
        <v/>
      </c>
      <c r="M413" s="11" t="n"/>
      <c r="N413" s="19" t="n"/>
      <c r="O413" s="11">
        <f>IF(OR(M413="",N413=""),"",M413*N413)</f>
        <v/>
      </c>
    </row>
    <row r="414">
      <c r="J414" s="18" t="n"/>
      <c r="L414" s="18">
        <f>IF(J414="","",J414+7)</f>
        <v/>
      </c>
      <c r="M414" s="11" t="n"/>
      <c r="N414" s="19" t="n"/>
      <c r="O414" s="11">
        <f>IF(OR(M414="",N414=""),"",M414*N414)</f>
        <v/>
      </c>
    </row>
    <row r="415">
      <c r="J415" s="18" t="n"/>
      <c r="L415" s="18">
        <f>IF(J415="","",J415+7)</f>
        <v/>
      </c>
      <c r="M415" s="11" t="n"/>
      <c r="N415" s="19" t="n"/>
      <c r="O415" s="11">
        <f>IF(OR(M415="",N415=""),"",M415*N415)</f>
        <v/>
      </c>
    </row>
    <row r="416">
      <c r="J416" s="18" t="n"/>
      <c r="L416" s="18">
        <f>IF(J416="","",J416+7)</f>
        <v/>
      </c>
      <c r="M416" s="11" t="n"/>
      <c r="N416" s="19" t="n"/>
      <c r="O416" s="11">
        <f>IF(OR(M416="",N416=""),"",M416*N416)</f>
        <v/>
      </c>
    </row>
    <row r="417">
      <c r="J417" s="18" t="n"/>
      <c r="L417" s="18">
        <f>IF(J417="","",J417+7)</f>
        <v/>
      </c>
      <c r="M417" s="11" t="n"/>
      <c r="N417" s="19" t="n"/>
      <c r="O417" s="11">
        <f>IF(OR(M417="",N417=""),"",M417*N417)</f>
        <v/>
      </c>
    </row>
    <row r="418">
      <c r="J418" s="18" t="n"/>
      <c r="L418" s="18">
        <f>IF(J418="","",J418+7)</f>
        <v/>
      </c>
      <c r="M418" s="11" t="n"/>
      <c r="N418" s="19" t="n"/>
      <c r="O418" s="11">
        <f>IF(OR(M418="",N418=""),"",M418*N418)</f>
        <v/>
      </c>
    </row>
    <row r="419">
      <c r="J419" s="18" t="n"/>
      <c r="L419" s="18">
        <f>IF(J419="","",J419+7)</f>
        <v/>
      </c>
      <c r="M419" s="11" t="n"/>
      <c r="N419" s="19" t="n"/>
      <c r="O419" s="11">
        <f>IF(OR(M419="",N419=""),"",M419*N419)</f>
        <v/>
      </c>
    </row>
    <row r="420">
      <c r="J420" s="18" t="n"/>
      <c r="L420" s="18">
        <f>IF(J420="","",J420+7)</f>
        <v/>
      </c>
      <c r="M420" s="11" t="n"/>
      <c r="N420" s="19" t="n"/>
      <c r="O420" s="11">
        <f>IF(OR(M420="",N420=""),"",M420*N420)</f>
        <v/>
      </c>
    </row>
    <row r="421">
      <c r="J421" s="18" t="n"/>
      <c r="L421" s="18">
        <f>IF(J421="","",J421+7)</f>
        <v/>
      </c>
      <c r="M421" s="11" t="n"/>
      <c r="N421" s="19" t="n"/>
      <c r="O421" s="11">
        <f>IF(OR(M421="",N421=""),"",M421*N421)</f>
        <v/>
      </c>
    </row>
    <row r="422">
      <c r="J422" s="18" t="n"/>
      <c r="L422" s="18">
        <f>IF(J422="","",J422+7)</f>
        <v/>
      </c>
      <c r="M422" s="11" t="n"/>
      <c r="N422" s="19" t="n"/>
      <c r="O422" s="11">
        <f>IF(OR(M422="",N422=""),"",M422*N422)</f>
        <v/>
      </c>
    </row>
    <row r="423">
      <c r="J423" s="18" t="n"/>
      <c r="L423" s="18">
        <f>IF(J423="","",J423+7)</f>
        <v/>
      </c>
      <c r="M423" s="11" t="n"/>
      <c r="N423" s="19" t="n"/>
      <c r="O423" s="11">
        <f>IF(OR(M423="",N423=""),"",M423*N423)</f>
        <v/>
      </c>
    </row>
    <row r="424">
      <c r="J424" s="18" t="n"/>
      <c r="L424" s="18">
        <f>IF(J424="","",J424+7)</f>
        <v/>
      </c>
      <c r="M424" s="11" t="n"/>
      <c r="N424" s="19" t="n"/>
      <c r="O424" s="11">
        <f>IF(OR(M424="",N424=""),"",M424*N424)</f>
        <v/>
      </c>
    </row>
    <row r="425">
      <c r="J425" s="18" t="n"/>
      <c r="L425" s="18">
        <f>IF(J425="","",J425+7)</f>
        <v/>
      </c>
      <c r="M425" s="11" t="n"/>
      <c r="N425" s="19" t="n"/>
      <c r="O425" s="11">
        <f>IF(OR(M425="",N425=""),"",M425*N425)</f>
        <v/>
      </c>
    </row>
    <row r="426">
      <c r="J426" s="18" t="n"/>
      <c r="L426" s="18">
        <f>IF(J426="","",J426+7)</f>
        <v/>
      </c>
      <c r="M426" s="11" t="n"/>
      <c r="N426" s="19" t="n"/>
      <c r="O426" s="11">
        <f>IF(OR(M426="",N426=""),"",M426*N426)</f>
        <v/>
      </c>
    </row>
    <row r="427">
      <c r="J427" s="18" t="n"/>
      <c r="L427" s="18">
        <f>IF(J427="","",J427+7)</f>
        <v/>
      </c>
      <c r="M427" s="11" t="n"/>
      <c r="N427" s="19" t="n"/>
      <c r="O427" s="11">
        <f>IF(OR(M427="",N427=""),"",M427*N427)</f>
        <v/>
      </c>
    </row>
    <row r="428">
      <c r="J428" s="18" t="n"/>
      <c r="L428" s="18">
        <f>IF(J428="","",J428+7)</f>
        <v/>
      </c>
      <c r="M428" s="11" t="n"/>
      <c r="N428" s="19" t="n"/>
      <c r="O428" s="11">
        <f>IF(OR(M428="",N428=""),"",M428*N428)</f>
        <v/>
      </c>
    </row>
    <row r="429">
      <c r="J429" s="18" t="n"/>
      <c r="L429" s="18">
        <f>IF(J429="","",J429+7)</f>
        <v/>
      </c>
      <c r="M429" s="11" t="n"/>
      <c r="N429" s="19" t="n"/>
      <c r="O429" s="11">
        <f>IF(OR(M429="",N429=""),"",M429*N429)</f>
        <v/>
      </c>
    </row>
    <row r="430">
      <c r="J430" s="18" t="n"/>
      <c r="L430" s="18">
        <f>IF(J430="","",J430+7)</f>
        <v/>
      </c>
      <c r="M430" s="11" t="n"/>
      <c r="N430" s="19" t="n"/>
      <c r="O430" s="11">
        <f>IF(OR(M430="",N430=""),"",M430*N430)</f>
        <v/>
      </c>
    </row>
    <row r="431">
      <c r="J431" s="18" t="n"/>
      <c r="L431" s="18">
        <f>IF(J431="","",J431+7)</f>
        <v/>
      </c>
      <c r="M431" s="11" t="n"/>
      <c r="N431" s="19" t="n"/>
      <c r="O431" s="11">
        <f>IF(OR(M431="",N431=""),"",M431*N431)</f>
        <v/>
      </c>
    </row>
    <row r="432">
      <c r="J432" s="18" t="n"/>
      <c r="L432" s="18">
        <f>IF(J432="","",J432+7)</f>
        <v/>
      </c>
      <c r="M432" s="11" t="n"/>
      <c r="N432" s="19" t="n"/>
      <c r="O432" s="11">
        <f>IF(OR(M432="",N432=""),"",M432*N432)</f>
        <v/>
      </c>
    </row>
    <row r="433">
      <c r="J433" s="18" t="n"/>
      <c r="L433" s="18">
        <f>IF(J433="","",J433+7)</f>
        <v/>
      </c>
      <c r="M433" s="11" t="n"/>
      <c r="N433" s="19" t="n"/>
      <c r="O433" s="11">
        <f>IF(OR(M433="",N433=""),"",M433*N433)</f>
        <v/>
      </c>
    </row>
    <row r="434">
      <c r="J434" s="18" t="n"/>
      <c r="L434" s="18">
        <f>IF(J434="","",J434+7)</f>
        <v/>
      </c>
      <c r="M434" s="11" t="n"/>
      <c r="N434" s="19" t="n"/>
      <c r="O434" s="11">
        <f>IF(OR(M434="",N434=""),"",M434*N434)</f>
        <v/>
      </c>
    </row>
    <row r="435">
      <c r="J435" s="18" t="n"/>
      <c r="L435" s="18">
        <f>IF(J435="","",J435+7)</f>
        <v/>
      </c>
      <c r="M435" s="11" t="n"/>
      <c r="N435" s="19" t="n"/>
      <c r="O435" s="11">
        <f>IF(OR(M435="",N435=""),"",M435*N435)</f>
        <v/>
      </c>
    </row>
    <row r="436">
      <c r="J436" s="18" t="n"/>
      <c r="L436" s="18">
        <f>IF(J436="","",J436+7)</f>
        <v/>
      </c>
      <c r="M436" s="11" t="n"/>
      <c r="N436" s="19" t="n"/>
      <c r="O436" s="11">
        <f>IF(OR(M436="",N436=""),"",M436*N436)</f>
        <v/>
      </c>
    </row>
    <row r="437">
      <c r="J437" s="18" t="n"/>
      <c r="L437" s="18">
        <f>IF(J437="","",J437+7)</f>
        <v/>
      </c>
      <c r="M437" s="11" t="n"/>
      <c r="N437" s="19" t="n"/>
      <c r="O437" s="11">
        <f>IF(OR(M437="",N437=""),"",M437*N437)</f>
        <v/>
      </c>
    </row>
    <row r="438">
      <c r="J438" s="18" t="n"/>
      <c r="L438" s="18">
        <f>IF(J438="","",J438+7)</f>
        <v/>
      </c>
      <c r="M438" s="11" t="n"/>
      <c r="N438" s="19" t="n"/>
      <c r="O438" s="11">
        <f>IF(OR(M438="",N438=""),"",M438*N438)</f>
        <v/>
      </c>
    </row>
    <row r="439">
      <c r="J439" s="18" t="n"/>
      <c r="L439" s="18">
        <f>IF(J439="","",J439+7)</f>
        <v/>
      </c>
      <c r="M439" s="11" t="n"/>
      <c r="N439" s="19" t="n"/>
      <c r="O439" s="11">
        <f>IF(OR(M439="",N439=""),"",M439*N439)</f>
        <v/>
      </c>
    </row>
    <row r="440">
      <c r="J440" s="18" t="n"/>
      <c r="L440" s="18">
        <f>IF(J440="","",J440+7)</f>
        <v/>
      </c>
      <c r="M440" s="11" t="n"/>
      <c r="N440" s="19" t="n"/>
      <c r="O440" s="11">
        <f>IF(OR(M440="",N440=""),"",M440*N440)</f>
        <v/>
      </c>
    </row>
    <row r="441">
      <c r="J441" s="18" t="n"/>
      <c r="L441" s="18">
        <f>IF(J441="","",J441+7)</f>
        <v/>
      </c>
      <c r="M441" s="11" t="n"/>
      <c r="N441" s="19" t="n"/>
      <c r="O441" s="11">
        <f>IF(OR(M441="",N441=""),"",M441*N441)</f>
        <v/>
      </c>
    </row>
    <row r="442">
      <c r="J442" s="18" t="n"/>
      <c r="L442" s="18">
        <f>IF(J442="","",J442+7)</f>
        <v/>
      </c>
      <c r="M442" s="11" t="n"/>
      <c r="N442" s="19" t="n"/>
      <c r="O442" s="11">
        <f>IF(OR(M442="",N442=""),"",M442*N442)</f>
        <v/>
      </c>
    </row>
    <row r="443">
      <c r="J443" s="18" t="n"/>
      <c r="L443" s="18">
        <f>IF(J443="","",J443+7)</f>
        <v/>
      </c>
      <c r="M443" s="11" t="n"/>
      <c r="N443" s="19" t="n"/>
      <c r="O443" s="11">
        <f>IF(OR(M443="",N443=""),"",M443*N443)</f>
        <v/>
      </c>
    </row>
    <row r="444">
      <c r="J444" s="18" t="n"/>
      <c r="L444" s="18">
        <f>IF(J444="","",J444+7)</f>
        <v/>
      </c>
      <c r="M444" s="11" t="n"/>
      <c r="N444" s="19" t="n"/>
      <c r="O444" s="11">
        <f>IF(OR(M444="",N444=""),"",M444*N444)</f>
        <v/>
      </c>
    </row>
    <row r="445">
      <c r="J445" s="18" t="n"/>
      <c r="L445" s="18">
        <f>IF(J445="","",J445+7)</f>
        <v/>
      </c>
      <c r="M445" s="11" t="n"/>
      <c r="N445" s="19" t="n"/>
      <c r="O445" s="11">
        <f>IF(OR(M445="",N445=""),"",M445*N445)</f>
        <v/>
      </c>
    </row>
    <row r="446">
      <c r="J446" s="18" t="n"/>
      <c r="L446" s="18">
        <f>IF(J446="","",J446+7)</f>
        <v/>
      </c>
      <c r="M446" s="11" t="n"/>
      <c r="N446" s="19" t="n"/>
      <c r="O446" s="11">
        <f>IF(OR(M446="",N446=""),"",M446*N446)</f>
        <v/>
      </c>
    </row>
    <row r="447">
      <c r="J447" s="18" t="n"/>
      <c r="L447" s="18">
        <f>IF(J447="","",J447+7)</f>
        <v/>
      </c>
      <c r="M447" s="11" t="n"/>
      <c r="N447" s="19" t="n"/>
      <c r="O447" s="11">
        <f>IF(OR(M447="",N447=""),"",M447*N447)</f>
        <v/>
      </c>
    </row>
    <row r="448">
      <c r="J448" s="18" t="n"/>
      <c r="L448" s="18">
        <f>IF(J448="","",J448+7)</f>
        <v/>
      </c>
      <c r="M448" s="11" t="n"/>
      <c r="N448" s="19" t="n"/>
      <c r="O448" s="11">
        <f>IF(OR(M448="",N448=""),"",M448*N448)</f>
        <v/>
      </c>
    </row>
    <row r="449">
      <c r="J449" s="18" t="n"/>
      <c r="L449" s="18">
        <f>IF(J449="","",J449+7)</f>
        <v/>
      </c>
      <c r="M449" s="11" t="n"/>
      <c r="N449" s="19" t="n"/>
      <c r="O449" s="11">
        <f>IF(OR(M449="",N449=""),"",M449*N449)</f>
        <v/>
      </c>
    </row>
    <row r="450">
      <c r="J450" s="18" t="n"/>
      <c r="L450" s="18">
        <f>IF(J450="","",J450+7)</f>
        <v/>
      </c>
      <c r="M450" s="11" t="n"/>
      <c r="N450" s="19" t="n"/>
      <c r="O450" s="11">
        <f>IF(OR(M450="",N450=""),"",M450*N450)</f>
        <v/>
      </c>
    </row>
    <row r="451">
      <c r="J451" s="18" t="n"/>
      <c r="L451" s="18">
        <f>IF(J451="","",J451+7)</f>
        <v/>
      </c>
      <c r="M451" s="11" t="n"/>
      <c r="N451" s="19" t="n"/>
      <c r="O451" s="11">
        <f>IF(OR(M451="",N451=""),"",M451*N451)</f>
        <v/>
      </c>
    </row>
    <row r="452">
      <c r="J452" s="18" t="n"/>
      <c r="L452" s="18">
        <f>IF(J452="","",J452+7)</f>
        <v/>
      </c>
      <c r="M452" s="11" t="n"/>
      <c r="N452" s="19" t="n"/>
      <c r="O452" s="11">
        <f>IF(OR(M452="",N452=""),"",M452*N452)</f>
        <v/>
      </c>
    </row>
    <row r="453">
      <c r="J453" s="18" t="n"/>
      <c r="L453" s="18">
        <f>IF(J453="","",J453+7)</f>
        <v/>
      </c>
      <c r="M453" s="11" t="n"/>
      <c r="N453" s="19" t="n"/>
      <c r="O453" s="11">
        <f>IF(OR(M453="",N453=""),"",M453*N453)</f>
        <v/>
      </c>
    </row>
    <row r="454">
      <c r="J454" s="18" t="n"/>
      <c r="L454" s="18">
        <f>IF(J454="","",J454+7)</f>
        <v/>
      </c>
      <c r="M454" s="11" t="n"/>
      <c r="N454" s="19" t="n"/>
      <c r="O454" s="11">
        <f>IF(OR(M454="",N454=""),"",M454*N454)</f>
        <v/>
      </c>
    </row>
    <row r="455">
      <c r="J455" s="18" t="n"/>
      <c r="L455" s="18">
        <f>IF(J455="","",J455+7)</f>
        <v/>
      </c>
      <c r="M455" s="11" t="n"/>
      <c r="N455" s="19" t="n"/>
      <c r="O455" s="11">
        <f>IF(OR(M455="",N455=""),"",M455*N455)</f>
        <v/>
      </c>
    </row>
    <row r="456">
      <c r="J456" s="18" t="n"/>
      <c r="L456" s="18">
        <f>IF(J456="","",J456+7)</f>
        <v/>
      </c>
      <c r="M456" s="11" t="n"/>
      <c r="N456" s="19" t="n"/>
      <c r="O456" s="11">
        <f>IF(OR(M456="",N456=""),"",M456*N456)</f>
        <v/>
      </c>
    </row>
    <row r="457">
      <c r="J457" s="18" t="n"/>
      <c r="L457" s="18">
        <f>IF(J457="","",J457+7)</f>
        <v/>
      </c>
      <c r="M457" s="11" t="n"/>
      <c r="N457" s="19" t="n"/>
      <c r="O457" s="11">
        <f>IF(OR(M457="",N457=""),"",M457*N457)</f>
        <v/>
      </c>
    </row>
    <row r="458">
      <c r="J458" s="18" t="n"/>
      <c r="L458" s="18">
        <f>IF(J458="","",J458+7)</f>
        <v/>
      </c>
      <c r="M458" s="11" t="n"/>
      <c r="N458" s="19" t="n"/>
      <c r="O458" s="11">
        <f>IF(OR(M458="",N458=""),"",M458*N458)</f>
        <v/>
      </c>
    </row>
    <row r="459">
      <c r="J459" s="18" t="n"/>
      <c r="L459" s="18">
        <f>IF(J459="","",J459+7)</f>
        <v/>
      </c>
      <c r="M459" s="11" t="n"/>
      <c r="N459" s="19" t="n"/>
      <c r="O459" s="11">
        <f>IF(OR(M459="",N459=""),"",M459*N459)</f>
        <v/>
      </c>
    </row>
    <row r="460">
      <c r="J460" s="18" t="n"/>
      <c r="L460" s="18">
        <f>IF(J460="","",J460+7)</f>
        <v/>
      </c>
      <c r="M460" s="11" t="n"/>
      <c r="N460" s="19" t="n"/>
      <c r="O460" s="11">
        <f>IF(OR(M460="",N460=""),"",M460*N460)</f>
        <v/>
      </c>
    </row>
    <row r="461">
      <c r="J461" s="18" t="n"/>
      <c r="L461" s="18">
        <f>IF(J461="","",J461+7)</f>
        <v/>
      </c>
      <c r="M461" s="11" t="n"/>
      <c r="N461" s="19" t="n"/>
      <c r="O461" s="11">
        <f>IF(OR(M461="",N461=""),"",M461*N461)</f>
        <v/>
      </c>
    </row>
    <row r="462">
      <c r="J462" s="18" t="n"/>
      <c r="L462" s="18">
        <f>IF(J462="","",J462+7)</f>
        <v/>
      </c>
      <c r="M462" s="11" t="n"/>
      <c r="N462" s="19" t="n"/>
      <c r="O462" s="11">
        <f>IF(OR(M462="",N462=""),"",M462*N462)</f>
        <v/>
      </c>
    </row>
    <row r="463">
      <c r="J463" s="18" t="n"/>
      <c r="L463" s="18">
        <f>IF(J463="","",J463+7)</f>
        <v/>
      </c>
      <c r="M463" s="11" t="n"/>
      <c r="N463" s="19" t="n"/>
      <c r="O463" s="11">
        <f>IF(OR(M463="",N463=""),"",M463*N463)</f>
        <v/>
      </c>
    </row>
    <row r="464">
      <c r="J464" s="18" t="n"/>
      <c r="L464" s="18">
        <f>IF(J464="","",J464+7)</f>
        <v/>
      </c>
      <c r="M464" s="11" t="n"/>
      <c r="N464" s="19" t="n"/>
      <c r="O464" s="11">
        <f>IF(OR(M464="",N464=""),"",M464*N464)</f>
        <v/>
      </c>
    </row>
    <row r="465">
      <c r="J465" s="18" t="n"/>
      <c r="L465" s="18">
        <f>IF(J465="","",J465+7)</f>
        <v/>
      </c>
      <c r="M465" s="11" t="n"/>
      <c r="N465" s="19" t="n"/>
      <c r="O465" s="11">
        <f>IF(OR(M465="",N465=""),"",M465*N465)</f>
        <v/>
      </c>
    </row>
    <row r="466">
      <c r="J466" s="18" t="n"/>
      <c r="L466" s="18">
        <f>IF(J466="","",J466+7)</f>
        <v/>
      </c>
      <c r="M466" s="11" t="n"/>
      <c r="N466" s="19" t="n"/>
      <c r="O466" s="11">
        <f>IF(OR(M466="",N466=""),"",M466*N466)</f>
        <v/>
      </c>
    </row>
    <row r="467">
      <c r="J467" s="18" t="n"/>
      <c r="L467" s="18">
        <f>IF(J467="","",J467+7)</f>
        <v/>
      </c>
      <c r="M467" s="11" t="n"/>
      <c r="N467" s="19" t="n"/>
      <c r="O467" s="11">
        <f>IF(OR(M467="",N467=""),"",M467*N467)</f>
        <v/>
      </c>
    </row>
    <row r="468">
      <c r="J468" s="18" t="n"/>
      <c r="L468" s="18">
        <f>IF(J468="","",J468+7)</f>
        <v/>
      </c>
      <c r="M468" s="11" t="n"/>
      <c r="N468" s="19" t="n"/>
      <c r="O468" s="11">
        <f>IF(OR(M468="",N468=""),"",M468*N468)</f>
        <v/>
      </c>
    </row>
    <row r="469">
      <c r="J469" s="18" t="n"/>
      <c r="L469" s="18">
        <f>IF(J469="","",J469+7)</f>
        <v/>
      </c>
      <c r="M469" s="11" t="n"/>
      <c r="N469" s="19" t="n"/>
      <c r="O469" s="11">
        <f>IF(OR(M469="",N469=""),"",M469*N469)</f>
        <v/>
      </c>
    </row>
    <row r="470">
      <c r="J470" s="18" t="n"/>
      <c r="L470" s="18">
        <f>IF(J470="","",J470+7)</f>
        <v/>
      </c>
      <c r="M470" s="11" t="n"/>
      <c r="N470" s="19" t="n"/>
      <c r="O470" s="11">
        <f>IF(OR(M470="",N470=""),"",M470*N470)</f>
        <v/>
      </c>
    </row>
    <row r="471">
      <c r="J471" s="18" t="n"/>
      <c r="L471" s="18">
        <f>IF(J471="","",J471+7)</f>
        <v/>
      </c>
      <c r="M471" s="11" t="n"/>
      <c r="N471" s="19" t="n"/>
      <c r="O471" s="11">
        <f>IF(OR(M471="",N471=""),"",M471*N471)</f>
        <v/>
      </c>
    </row>
    <row r="472">
      <c r="J472" s="18" t="n"/>
      <c r="L472" s="18">
        <f>IF(J472="","",J472+7)</f>
        <v/>
      </c>
      <c r="M472" s="11" t="n"/>
      <c r="N472" s="19" t="n"/>
      <c r="O472" s="11">
        <f>IF(OR(M472="",N472=""),"",M472*N472)</f>
        <v/>
      </c>
    </row>
    <row r="473">
      <c r="J473" s="18" t="n"/>
      <c r="L473" s="18">
        <f>IF(J473="","",J473+7)</f>
        <v/>
      </c>
      <c r="M473" s="11" t="n"/>
      <c r="N473" s="19" t="n"/>
      <c r="O473" s="11">
        <f>IF(OR(M473="",N473=""),"",M473*N473)</f>
        <v/>
      </c>
    </row>
    <row r="474">
      <c r="J474" s="18" t="n"/>
      <c r="L474" s="18">
        <f>IF(J474="","",J474+7)</f>
        <v/>
      </c>
      <c r="M474" s="11" t="n"/>
      <c r="N474" s="19" t="n"/>
      <c r="O474" s="11">
        <f>IF(OR(M474="",N474=""),"",M474*N474)</f>
        <v/>
      </c>
    </row>
    <row r="475">
      <c r="J475" s="18" t="n"/>
      <c r="L475" s="18">
        <f>IF(J475="","",J475+7)</f>
        <v/>
      </c>
      <c r="M475" s="11" t="n"/>
      <c r="N475" s="19" t="n"/>
      <c r="O475" s="11">
        <f>IF(OR(M475="",N475=""),"",M475*N475)</f>
        <v/>
      </c>
    </row>
    <row r="476">
      <c r="J476" s="18" t="n"/>
      <c r="L476" s="18">
        <f>IF(J476="","",J476+7)</f>
        <v/>
      </c>
      <c r="M476" s="11" t="n"/>
      <c r="N476" s="19" t="n"/>
      <c r="O476" s="11">
        <f>IF(OR(M476="",N476=""),"",M476*N476)</f>
        <v/>
      </c>
    </row>
    <row r="477">
      <c r="J477" s="18" t="n"/>
      <c r="L477" s="18">
        <f>IF(J477="","",J477+7)</f>
        <v/>
      </c>
      <c r="M477" s="11" t="n"/>
      <c r="N477" s="19" t="n"/>
      <c r="O477" s="11">
        <f>IF(OR(M477="",N477=""),"",M477*N477)</f>
        <v/>
      </c>
    </row>
    <row r="478">
      <c r="J478" s="18" t="n"/>
      <c r="L478" s="18">
        <f>IF(J478="","",J478+7)</f>
        <v/>
      </c>
      <c r="M478" s="11" t="n"/>
      <c r="N478" s="19" t="n"/>
      <c r="O478" s="11">
        <f>IF(OR(M478="",N478=""),"",M478*N478)</f>
        <v/>
      </c>
    </row>
    <row r="479">
      <c r="J479" s="18" t="n"/>
      <c r="L479" s="18">
        <f>IF(J479="","",J479+7)</f>
        <v/>
      </c>
      <c r="M479" s="11" t="n"/>
      <c r="N479" s="19" t="n"/>
      <c r="O479" s="11">
        <f>IF(OR(M479="",N479=""),"",M479*N479)</f>
        <v/>
      </c>
    </row>
    <row r="480">
      <c r="J480" s="18" t="n"/>
      <c r="L480" s="18">
        <f>IF(J480="","",J480+7)</f>
        <v/>
      </c>
      <c r="M480" s="11" t="n"/>
      <c r="N480" s="19" t="n"/>
      <c r="O480" s="11">
        <f>IF(OR(M480="",N480=""),"",M480*N480)</f>
        <v/>
      </c>
    </row>
    <row r="481">
      <c r="J481" s="18" t="n"/>
      <c r="L481" s="18">
        <f>IF(J481="","",J481+7)</f>
        <v/>
      </c>
      <c r="M481" s="11" t="n"/>
      <c r="N481" s="19" t="n"/>
      <c r="O481" s="11">
        <f>IF(OR(M481="",N481=""),"",M481*N481)</f>
        <v/>
      </c>
    </row>
    <row r="482">
      <c r="J482" s="18" t="n"/>
      <c r="L482" s="18">
        <f>IF(J482="","",J482+7)</f>
        <v/>
      </c>
      <c r="M482" s="11" t="n"/>
      <c r="N482" s="19" t="n"/>
      <c r="O482" s="11">
        <f>IF(OR(M482="",N482=""),"",M482*N482)</f>
        <v/>
      </c>
    </row>
    <row r="483">
      <c r="J483" s="18" t="n"/>
      <c r="L483" s="18">
        <f>IF(J483="","",J483+7)</f>
        <v/>
      </c>
      <c r="M483" s="11" t="n"/>
      <c r="N483" s="19" t="n"/>
      <c r="O483" s="11">
        <f>IF(OR(M483="",N483=""),"",M483*N483)</f>
        <v/>
      </c>
    </row>
    <row r="484">
      <c r="J484" s="18" t="n"/>
      <c r="L484" s="18">
        <f>IF(J484="","",J484+7)</f>
        <v/>
      </c>
      <c r="M484" s="11" t="n"/>
      <c r="N484" s="19" t="n"/>
      <c r="O484" s="11">
        <f>IF(OR(M484="",N484=""),"",M484*N484)</f>
        <v/>
      </c>
    </row>
    <row r="485">
      <c r="J485" s="18" t="n"/>
      <c r="L485" s="18">
        <f>IF(J485="","",J485+7)</f>
        <v/>
      </c>
      <c r="M485" s="11" t="n"/>
      <c r="N485" s="19" t="n"/>
      <c r="O485" s="11">
        <f>IF(OR(M485="",N485=""),"",M485*N485)</f>
        <v/>
      </c>
    </row>
    <row r="486">
      <c r="J486" s="18" t="n"/>
      <c r="L486" s="18">
        <f>IF(J486="","",J486+7)</f>
        <v/>
      </c>
      <c r="M486" s="11" t="n"/>
      <c r="N486" s="19" t="n"/>
      <c r="O486" s="11">
        <f>IF(OR(M486="",N486=""),"",M486*N486)</f>
        <v/>
      </c>
    </row>
    <row r="487">
      <c r="J487" s="18" t="n"/>
      <c r="L487" s="18">
        <f>IF(J487="","",J487+7)</f>
        <v/>
      </c>
      <c r="M487" s="11" t="n"/>
      <c r="N487" s="19" t="n"/>
      <c r="O487" s="11">
        <f>IF(OR(M487="",N487=""),"",M487*N487)</f>
        <v/>
      </c>
    </row>
    <row r="488">
      <c r="J488" s="18" t="n"/>
      <c r="L488" s="18">
        <f>IF(J488="","",J488+7)</f>
        <v/>
      </c>
      <c r="M488" s="11" t="n"/>
      <c r="N488" s="19" t="n"/>
      <c r="O488" s="11">
        <f>IF(OR(M488="",N488=""),"",M488*N488)</f>
        <v/>
      </c>
    </row>
    <row r="489">
      <c r="J489" s="18" t="n"/>
      <c r="L489" s="18">
        <f>IF(J489="","",J489+7)</f>
        <v/>
      </c>
      <c r="M489" s="11" t="n"/>
      <c r="N489" s="19" t="n"/>
      <c r="O489" s="11">
        <f>IF(OR(M489="",N489=""),"",M489*N489)</f>
        <v/>
      </c>
    </row>
    <row r="490">
      <c r="J490" s="18" t="n"/>
      <c r="L490" s="18">
        <f>IF(J490="","",J490+7)</f>
        <v/>
      </c>
      <c r="M490" s="11" t="n"/>
      <c r="N490" s="19" t="n"/>
      <c r="O490" s="11">
        <f>IF(OR(M490="",N490=""),"",M490*N490)</f>
        <v/>
      </c>
    </row>
    <row r="491">
      <c r="J491" s="18" t="n"/>
      <c r="L491" s="18">
        <f>IF(J491="","",J491+7)</f>
        <v/>
      </c>
      <c r="M491" s="11" t="n"/>
      <c r="N491" s="19" t="n"/>
      <c r="O491" s="11">
        <f>IF(OR(M491="",N491=""),"",M491*N491)</f>
        <v/>
      </c>
    </row>
    <row r="492">
      <c r="J492" s="18" t="n"/>
      <c r="L492" s="18">
        <f>IF(J492="","",J492+7)</f>
        <v/>
      </c>
      <c r="M492" s="11" t="n"/>
      <c r="N492" s="19" t="n"/>
      <c r="O492" s="11">
        <f>IF(OR(M492="",N492=""),"",M492*N492)</f>
        <v/>
      </c>
    </row>
    <row r="493">
      <c r="J493" s="18" t="n"/>
      <c r="L493" s="18">
        <f>IF(J493="","",J493+7)</f>
        <v/>
      </c>
      <c r="M493" s="11" t="n"/>
      <c r="N493" s="19" t="n"/>
      <c r="O493" s="11">
        <f>IF(OR(M493="",N493=""),"",M493*N493)</f>
        <v/>
      </c>
    </row>
    <row r="494">
      <c r="J494" s="18" t="n"/>
      <c r="L494" s="18">
        <f>IF(J494="","",J494+7)</f>
        <v/>
      </c>
      <c r="M494" s="11" t="n"/>
      <c r="N494" s="19" t="n"/>
      <c r="O494" s="11">
        <f>IF(OR(M494="",N494=""),"",M494*N494)</f>
        <v/>
      </c>
    </row>
    <row r="495">
      <c r="J495" s="18" t="n"/>
      <c r="L495" s="18">
        <f>IF(J495="","",J495+7)</f>
        <v/>
      </c>
      <c r="M495" s="11" t="n"/>
      <c r="N495" s="19" t="n"/>
      <c r="O495" s="11">
        <f>IF(OR(M495="",N495=""),"",M495*N495)</f>
        <v/>
      </c>
    </row>
    <row r="496">
      <c r="J496" s="18" t="n"/>
      <c r="L496" s="18">
        <f>IF(J496="","",J496+7)</f>
        <v/>
      </c>
      <c r="M496" s="11" t="n"/>
      <c r="N496" s="19" t="n"/>
      <c r="O496" s="11">
        <f>IF(OR(M496="",N496=""),"",M496*N496)</f>
        <v/>
      </c>
    </row>
    <row r="497">
      <c r="J497" s="18" t="n"/>
      <c r="L497" s="18">
        <f>IF(J497="","",J497+7)</f>
        <v/>
      </c>
      <c r="M497" s="11" t="n"/>
      <c r="N497" s="19" t="n"/>
      <c r="O497" s="11">
        <f>IF(OR(M497="",N497=""),"",M497*N497)</f>
        <v/>
      </c>
    </row>
    <row r="498">
      <c r="J498" s="18" t="n"/>
      <c r="L498" s="18">
        <f>IF(J498="","",J498+7)</f>
        <v/>
      </c>
      <c r="M498" s="11" t="n"/>
      <c r="N498" s="19" t="n"/>
      <c r="O498" s="11">
        <f>IF(OR(M498="",N498=""),"",M498*N498)</f>
        <v/>
      </c>
    </row>
    <row r="499">
      <c r="J499" s="18" t="n"/>
      <c r="L499" s="18">
        <f>IF(J499="","",J499+7)</f>
        <v/>
      </c>
      <c r="M499" s="11" t="n"/>
      <c r="N499" s="19" t="n"/>
      <c r="O499" s="11">
        <f>IF(OR(M499="",N499=""),"",M499*N499)</f>
        <v/>
      </c>
    </row>
    <row r="500">
      <c r="J500" s="18" t="n"/>
      <c r="L500" s="18">
        <f>IF(J500="","",J500+7)</f>
        <v/>
      </c>
      <c r="M500" s="11" t="n"/>
      <c r="N500" s="19" t="n"/>
      <c r="O500" s="11">
        <f>IF(OR(M500="",N500=""),"",M500*N500)</f>
        <v/>
      </c>
    </row>
  </sheetData>
  <autoFilter ref="A1:P500"/>
  <dataValidations count="2">
    <dataValidation sqref="H2:H500" showDropDown="0" showInputMessage="0" showErrorMessage="0" allowBlank="1" type="list">
      <formula1>"0-Identificado,1-Pesquisado,2-Aprovado p/ contato,3-Contatado,4-Reunião,5-Proposta/Orçamento,6-Ganho,7-Perdido,8-Em espera"</formula1>
    </dataValidation>
    <dataValidation sqref="B2:B500" showDropDown="0" showInputMessage="0" showErrorMessage="0" allowBlank="1" type="list">
      <formula1>"A-Corretores,B-Sinistros,C-Governo,D-Parceiro armazenagem"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60" customWidth="1" min="15" max="15"/>
  </cols>
  <sheetData>
    <row r="1">
      <c r="A1" s="2" t="inlineStr">
        <is>
          <t>Painel semanal — preencher toda segunda-feira (semana anterior).</t>
        </is>
      </c>
    </row>
    <row r="2">
      <c r="A2" s="3" t="inlineStr">
        <is>
          <t>Semana (segunda)</t>
        </is>
      </c>
      <c r="B2" s="3" t="inlineStr">
        <is>
          <t>Contatos A (corretores)</t>
        </is>
      </c>
      <c r="C2" s="3" t="inlineStr">
        <is>
          <t>Contatos B (sinistros)</t>
        </is>
      </c>
      <c r="D2" s="3" t="inlineStr">
        <is>
          <t>Ações C (governo)</t>
        </is>
      </c>
      <c r="E2" s="3" t="inlineStr">
        <is>
          <t>Reuniões</t>
        </is>
      </c>
      <c r="F2" s="3" t="inlineStr">
        <is>
          <t>Indicações recebidas</t>
        </is>
      </c>
      <c r="G2" s="3" t="inlineStr">
        <is>
          <t>Orçamentos enviados</t>
        </is>
      </c>
      <c r="H2" s="3" t="inlineStr">
        <is>
          <t>Contratos/jobs ganhos</t>
        </is>
      </c>
      <c r="I2" s="3" t="inlineStr">
        <is>
          <t>Receita fechada (US$)</t>
        </is>
      </c>
      <c r="J2" s="3" t="inlineStr">
        <is>
          <t>Mudanças realizadas</t>
        </is>
      </c>
      <c r="K2" s="3" t="inlineStr">
        <is>
          <t>Pack-outs realizados</t>
        </is>
      </c>
      <c r="L2" s="3" t="inlineStr">
        <is>
          <t>Vaults ocupados</t>
        </is>
      </c>
      <c r="M2" s="3" t="inlineStr">
        <is>
          <t>Caixa disponível (US$)</t>
        </is>
      </c>
      <c r="N2" s="3" t="inlineStr">
        <is>
          <t>Conversão orçamento→ganho</t>
        </is>
      </c>
      <c r="O2" s="3" t="inlineStr">
        <is>
          <t>Próximas 3 ações</t>
        </is>
      </c>
    </row>
    <row r="3">
      <c r="A3" t="inlineStr">
        <is>
          <t>META semanal (base)</t>
        </is>
      </c>
      <c r="B3" s="20" t="n">
        <v>15</v>
      </c>
      <c r="C3" s="20" t="n">
        <v>10</v>
      </c>
      <c r="D3" s="20" t="n">
        <v>3</v>
      </c>
      <c r="E3" s="20" t="n">
        <v>3</v>
      </c>
      <c r="F3" s="20" t="n">
        <v>2</v>
      </c>
      <c r="G3" s="20" t="n">
        <v>4</v>
      </c>
      <c r="H3" s="20" t="n">
        <v>2</v>
      </c>
      <c r="O3" t="inlineStr"/>
    </row>
    <row r="4">
      <c r="A4" s="18" t="n"/>
      <c r="I4" s="11" t="n"/>
      <c r="M4" s="11" t="n"/>
      <c r="N4" s="19">
        <f>IF(G4&gt;0,H4/G4,"")</f>
        <v/>
      </c>
    </row>
    <row r="5">
      <c r="A5" s="18" t="n"/>
      <c r="I5" s="11" t="n"/>
      <c r="M5" s="11" t="n"/>
      <c r="N5" s="19">
        <f>IF(G5&gt;0,H5/G5,"")</f>
        <v/>
      </c>
    </row>
    <row r="6">
      <c r="A6" s="18" t="n"/>
      <c r="I6" s="11" t="n"/>
      <c r="M6" s="11" t="n"/>
      <c r="N6" s="19">
        <f>IF(G6&gt;0,H6/G6,"")</f>
        <v/>
      </c>
    </row>
    <row r="7">
      <c r="A7" s="18" t="n"/>
      <c r="I7" s="11" t="n"/>
      <c r="M7" s="11" t="n"/>
      <c r="N7" s="19">
        <f>IF(G7&gt;0,H7/G7,"")</f>
        <v/>
      </c>
    </row>
    <row r="8">
      <c r="A8" s="18" t="n"/>
      <c r="I8" s="11" t="n"/>
      <c r="M8" s="11" t="n"/>
      <c r="N8" s="19">
        <f>IF(G8&gt;0,H8/G8,"")</f>
        <v/>
      </c>
    </row>
    <row r="9">
      <c r="A9" s="18" t="n"/>
      <c r="I9" s="11" t="n"/>
      <c r="M9" s="11" t="n"/>
      <c r="N9" s="19">
        <f>IF(G9&gt;0,H9/G9,"")</f>
        <v/>
      </c>
    </row>
    <row r="10">
      <c r="A10" s="18" t="n"/>
      <c r="I10" s="11" t="n"/>
      <c r="M10" s="11" t="n"/>
      <c r="N10" s="19">
        <f>IF(G10&gt;0,H10/G10,"")</f>
        <v/>
      </c>
    </row>
    <row r="11">
      <c r="A11" s="18" t="n"/>
      <c r="I11" s="11" t="n"/>
      <c r="M11" s="11" t="n"/>
      <c r="N11" s="19">
        <f>IF(G11&gt;0,H11/G11,"")</f>
        <v/>
      </c>
    </row>
    <row r="12">
      <c r="A12" s="18" t="n"/>
      <c r="I12" s="11" t="n"/>
      <c r="M12" s="11" t="n"/>
      <c r="N12" s="19">
        <f>IF(G12&gt;0,H12/G12,"")</f>
        <v/>
      </c>
    </row>
    <row r="13">
      <c r="A13" s="18" t="n"/>
      <c r="I13" s="11" t="n"/>
      <c r="M13" s="11" t="n"/>
      <c r="N13" s="19">
        <f>IF(G13&gt;0,H13/G13,"")</f>
        <v/>
      </c>
    </row>
    <row r="14">
      <c r="A14" s="18" t="n"/>
      <c r="I14" s="11" t="n"/>
      <c r="M14" s="11" t="n"/>
      <c r="N14" s="19">
        <f>IF(G14&gt;0,H14/G14,"")</f>
        <v/>
      </c>
    </row>
    <row r="15">
      <c r="A15" s="18" t="n"/>
      <c r="I15" s="11" t="n"/>
      <c r="M15" s="11" t="n"/>
      <c r="N15" s="19">
        <f>IF(G15&gt;0,H15/G15,"")</f>
        <v/>
      </c>
    </row>
    <row r="16">
      <c r="A16" s="18" t="n"/>
      <c r="I16" s="11" t="n"/>
      <c r="M16" s="11" t="n"/>
      <c r="N16" s="19">
        <f>IF(G16&gt;0,H16/G16,"")</f>
        <v/>
      </c>
    </row>
    <row r="17">
      <c r="A17" s="18" t="n"/>
      <c r="I17" s="11" t="n"/>
      <c r="M17" s="11" t="n"/>
      <c r="N17" s="19">
        <f>IF(G17&gt;0,H17/G17,"")</f>
        <v/>
      </c>
    </row>
    <row r="18">
      <c r="A18" s="18" t="n"/>
      <c r="I18" s="11" t="n"/>
      <c r="M18" s="11" t="n"/>
      <c r="N18" s="19">
        <f>IF(G18&gt;0,H18/G18,"")</f>
        <v/>
      </c>
    </row>
    <row r="19">
      <c r="A19" s="18" t="n"/>
      <c r="I19" s="11" t="n"/>
      <c r="M19" s="11" t="n"/>
      <c r="N19" s="19">
        <f>IF(G19&gt;0,H19/G19,"")</f>
        <v/>
      </c>
    </row>
    <row r="20">
      <c r="A20" s="18" t="n"/>
      <c r="I20" s="11" t="n"/>
      <c r="M20" s="11" t="n"/>
      <c r="N20" s="19">
        <f>IF(G20&gt;0,H20/G20,"")</f>
        <v/>
      </c>
    </row>
    <row r="21">
      <c r="A21" s="18" t="n"/>
      <c r="I21" s="11" t="n"/>
      <c r="M21" s="11" t="n"/>
      <c r="N21" s="19">
        <f>IF(G21&gt;0,H21/G21,"")</f>
        <v/>
      </c>
    </row>
    <row r="22">
      <c r="A22" s="18" t="n"/>
      <c r="I22" s="11" t="n"/>
      <c r="M22" s="11" t="n"/>
      <c r="N22" s="19">
        <f>IF(G22&gt;0,H22/G22,"")</f>
        <v/>
      </c>
    </row>
    <row r="23">
      <c r="A23" s="18" t="n"/>
      <c r="I23" s="11" t="n"/>
      <c r="M23" s="11" t="n"/>
      <c r="N23" s="19">
        <f>IF(G23&gt;0,H23/G23,"")</f>
        <v/>
      </c>
    </row>
    <row r="24">
      <c r="A24" s="18" t="n"/>
      <c r="I24" s="11" t="n"/>
      <c r="M24" s="11" t="n"/>
      <c r="N24" s="19">
        <f>IF(G24&gt;0,H24/G24,"")</f>
        <v/>
      </c>
    </row>
    <row r="25">
      <c r="A25" s="18" t="n"/>
      <c r="I25" s="11" t="n"/>
      <c r="M25" s="11" t="n"/>
      <c r="N25" s="19">
        <f>IF(G25&gt;0,H25/G25,"")</f>
        <v/>
      </c>
    </row>
    <row r="26">
      <c r="A26" s="18" t="n"/>
      <c r="I26" s="11" t="n"/>
      <c r="M26" s="11" t="n"/>
      <c r="N26" s="19">
        <f>IF(G26&gt;0,H26/G26,"")</f>
        <v/>
      </c>
    </row>
    <row r="27">
      <c r="A27" s="18" t="n"/>
      <c r="I27" s="11" t="n"/>
      <c r="M27" s="11" t="n"/>
      <c r="N27" s="19">
        <f>IF(G27&gt;0,H27/G27,"")</f>
        <v/>
      </c>
    </row>
    <row r="28">
      <c r="A28" s="18" t="n"/>
      <c r="I28" s="11" t="n"/>
      <c r="M28" s="11" t="n"/>
      <c r="N28" s="19">
        <f>IF(G28&gt;0,H28/G28,"")</f>
        <v/>
      </c>
    </row>
    <row r="29">
      <c r="A29" s="18" t="n"/>
      <c r="I29" s="11" t="n"/>
      <c r="M29" s="11" t="n"/>
      <c r="N29" s="19">
        <f>IF(G29&gt;0,H29/G29,"")</f>
        <v/>
      </c>
    </row>
    <row r="30">
      <c r="A30" s="18" t="n"/>
      <c r="I30" s="11" t="n"/>
      <c r="M30" s="11" t="n"/>
      <c r="N30" s="19">
        <f>IF(G30&gt;0,H30/G30,"")</f>
        <v/>
      </c>
    </row>
    <row r="31">
      <c r="A31" s="18" t="n"/>
      <c r="I31" s="11" t="n"/>
      <c r="M31" s="11" t="n"/>
      <c r="N31" s="19">
        <f>IF(G31&gt;0,H31/G31,"")</f>
        <v/>
      </c>
    </row>
    <row r="32">
      <c r="A32" s="18" t="n"/>
      <c r="I32" s="11" t="n"/>
      <c r="M32" s="11" t="n"/>
      <c r="N32" s="19">
        <f>IF(G32&gt;0,H32/G32,"")</f>
        <v/>
      </c>
    </row>
    <row r="33">
      <c r="A33" s="18" t="n"/>
      <c r="I33" s="11" t="n"/>
      <c r="M33" s="11" t="n"/>
      <c r="N33" s="19">
        <f>IF(G33&gt;0,H33/G33,"")</f>
        <v/>
      </c>
    </row>
    <row r="34">
      <c r="A34" s="18" t="n"/>
      <c r="I34" s="11" t="n"/>
      <c r="M34" s="11" t="n"/>
      <c r="N34" s="19">
        <f>IF(G34&gt;0,H34/G34,"")</f>
        <v/>
      </c>
    </row>
    <row r="35">
      <c r="A35" s="18" t="n"/>
      <c r="I35" s="11" t="n"/>
      <c r="M35" s="11" t="n"/>
      <c r="N35" s="19">
        <f>IF(G35&gt;0,H35/G35,"")</f>
        <v/>
      </c>
    </row>
    <row r="36">
      <c r="A36" s="18" t="n"/>
      <c r="I36" s="11" t="n"/>
      <c r="M36" s="11" t="n"/>
      <c r="N36" s="19">
        <f>IF(G36&gt;0,H36/G36,"")</f>
        <v/>
      </c>
    </row>
    <row r="37">
      <c r="A37" s="18" t="n"/>
      <c r="I37" s="11" t="n"/>
      <c r="M37" s="11" t="n"/>
      <c r="N37" s="19">
        <f>IF(G37&gt;0,H37/G37,"")</f>
        <v/>
      </c>
    </row>
    <row r="38">
      <c r="A38" s="18" t="n"/>
      <c r="I38" s="11" t="n"/>
      <c r="M38" s="11" t="n"/>
      <c r="N38" s="19">
        <f>IF(G38&gt;0,H38/G38,"")</f>
        <v/>
      </c>
    </row>
    <row r="39">
      <c r="A39" s="18" t="n"/>
      <c r="I39" s="11" t="n"/>
      <c r="M39" s="11" t="n"/>
      <c r="N39" s="19">
        <f>IF(G39&gt;0,H39/G39,"")</f>
        <v/>
      </c>
    </row>
    <row r="40">
      <c r="A40" s="18" t="n"/>
      <c r="I40" s="11" t="n"/>
      <c r="M40" s="11" t="n"/>
      <c r="N40" s="19">
        <f>IF(G40&gt;0,H40/G40,"")</f>
        <v/>
      </c>
    </row>
    <row r="41">
      <c r="A41" s="18" t="n"/>
      <c r="I41" s="11" t="n"/>
      <c r="M41" s="11" t="n"/>
      <c r="N41" s="19">
        <f>IF(G41&gt;0,H41/G41,"")</f>
        <v/>
      </c>
    </row>
    <row r="42">
      <c r="A42" s="18" t="n"/>
      <c r="I42" s="11" t="n"/>
      <c r="M42" s="11" t="n"/>
      <c r="N42" s="19">
        <f>IF(G42&gt;0,H42/G42,"")</f>
        <v/>
      </c>
    </row>
    <row r="43">
      <c r="A43" s="18" t="n"/>
      <c r="I43" s="11" t="n"/>
      <c r="M43" s="11" t="n"/>
      <c r="N43" s="19">
        <f>IF(G43&gt;0,H43/G43,"")</f>
        <v/>
      </c>
    </row>
    <row r="44">
      <c r="A44" s="18" t="n"/>
      <c r="I44" s="11" t="n"/>
      <c r="M44" s="11" t="n"/>
      <c r="N44" s="19">
        <f>IF(G44&gt;0,H44/G44,"")</f>
        <v/>
      </c>
    </row>
    <row r="45">
      <c r="A45" s="18" t="n"/>
      <c r="I45" s="11" t="n"/>
      <c r="M45" s="11" t="n"/>
      <c r="N45" s="19">
        <f>IF(G45&gt;0,H45/G45,"")</f>
        <v/>
      </c>
    </row>
    <row r="46">
      <c r="A46" s="18" t="n"/>
      <c r="I46" s="11" t="n"/>
      <c r="M46" s="11" t="n"/>
      <c r="N46" s="19">
        <f>IF(G46&gt;0,H46/G46,"")</f>
        <v/>
      </c>
    </row>
    <row r="47">
      <c r="A47" s="18" t="n"/>
      <c r="I47" s="11" t="n"/>
      <c r="M47" s="11" t="n"/>
      <c r="N47" s="19">
        <f>IF(G47&gt;0,H47/G47,"")</f>
        <v/>
      </c>
    </row>
    <row r="48">
      <c r="A48" s="18" t="n"/>
      <c r="I48" s="11" t="n"/>
      <c r="M48" s="11" t="n"/>
      <c r="N48" s="19">
        <f>IF(G48&gt;0,H48/G48,"")</f>
        <v/>
      </c>
    </row>
    <row r="49">
      <c r="A49" s="18" t="n"/>
      <c r="I49" s="11" t="n"/>
      <c r="M49" s="11" t="n"/>
      <c r="N49" s="19">
        <f>IF(G49&gt;0,H49/G49,"")</f>
        <v/>
      </c>
    </row>
    <row r="50">
      <c r="A50" s="18" t="n"/>
      <c r="I50" s="11" t="n"/>
      <c r="M50" s="11" t="n"/>
      <c r="N50" s="19">
        <f>IF(G50&gt;0,H50/G50,"")</f>
        <v/>
      </c>
    </row>
    <row r="51">
      <c r="A51" s="18" t="n"/>
      <c r="I51" s="11" t="n"/>
      <c r="M51" s="11" t="n"/>
      <c r="N51" s="19">
        <f>IF(G51&gt;0,H51/G51,"")</f>
        <v/>
      </c>
    </row>
    <row r="52">
      <c r="A52" s="18" t="n"/>
      <c r="I52" s="11" t="n"/>
      <c r="M52" s="11" t="n"/>
      <c r="N52" s="19">
        <f>IF(G52&gt;0,H52/G52,"")</f>
        <v/>
      </c>
    </row>
    <row r="53">
      <c r="A53" s="18" t="n"/>
      <c r="I53" s="11" t="n"/>
      <c r="M53" s="11" t="n"/>
      <c r="N53" s="19">
        <f>IF(G53&gt;0,H53/G53,"")</f>
        <v/>
      </c>
    </row>
    <row r="54">
      <c r="A54" s="18" t="n"/>
      <c r="I54" s="11" t="n"/>
      <c r="M54" s="11" t="n"/>
      <c r="N54" s="19">
        <f>IF(G54&gt;0,H54/G54,"")</f>
        <v/>
      </c>
    </row>
    <row r="55">
      <c r="A55" s="18" t="n"/>
      <c r="I55" s="11" t="n"/>
      <c r="M55" s="11" t="n"/>
      <c r="N55" s="19">
        <f>IF(G55&gt;0,H55/G55,"")</f>
        <v/>
      </c>
    </row>
    <row r="57">
      <c r="A57" s="13" t="inlineStr">
        <is>
          <t>Acumulado 13 semanas</t>
        </is>
      </c>
      <c r="B57">
        <f>SUM(B4:B16)</f>
        <v/>
      </c>
      <c r="C57">
        <f>SUM(C4:C16)</f>
        <v/>
      </c>
      <c r="D57">
        <f>SUM(D4:D16)</f>
        <v/>
      </c>
      <c r="E57">
        <f>SUM(E4:E16)</f>
        <v/>
      </c>
      <c r="F57">
        <f>SUM(F4:F16)</f>
        <v/>
      </c>
      <c r="G57">
        <f>SUM(G4:G16)</f>
        <v/>
      </c>
      <c r="H57">
        <f>SUM(H4:H16)</f>
        <v/>
      </c>
      <c r="I57" s="11">
        <f>SUM(I4:I16)</f>
        <v/>
      </c>
      <c r="J57">
        <f>SUM(J4:J16)</f>
        <v/>
      </c>
      <c r="K57">
        <f>SUM(K4:K16)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2026-10-17T02:53:30Z</dcterms:created>
  <dcterms:modified xmlns:dcterms="http://purl.org/dc/terms/" xmlns:xsi="http://www.w3.org/2001/XMLSchema-instance" xsi:type="dcterms:W3CDTF">2026-10-17T02:53:30Z</dcterms:modified>
</cp:coreProperties>
</file>